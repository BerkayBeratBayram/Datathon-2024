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rke\Desktop\"/>
    </mc:Choice>
  </mc:AlternateContent>
  <xr:revisionPtr revIDLastSave="0" documentId="13_ncr:1_{4D743E16-86D6-49BB-B580-E239DE802725}" xr6:coauthVersionLast="47" xr6:coauthVersionMax="47" xr10:uidLastSave="{00000000-0000-0000-0000-000000000000}"/>
  <bookViews>
    <workbookView xWindow="-108" yWindow="-108" windowWidth="23256" windowHeight="12576" xr2:uid="{E265C8E2-B320-42E9-9941-4745C1A9C5CA}"/>
  </bookViews>
  <sheets>
    <sheet name="Üniversiteler" sheetId="2" r:id="rId1"/>
    <sheet name="Sheet1" sheetId="5" r:id="rId2"/>
    <sheet name="Bölgeler" sheetId="4" r:id="rId3"/>
  </sheets>
  <definedNames>
    <definedName name="_xlnm._FilterDatabase" localSheetId="2" hidden="1">Bölgeler!$A$1:$F$82</definedName>
    <definedName name="_xlnm._FilterDatabase" localSheetId="1" hidden="1">Sheet1!$A$1:$D$1</definedName>
    <definedName name="_xlnm._FilterDatabase" localSheetId="0" hidden="1">Üniversiteler!$A$1:$J$208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" i="2"/>
</calcChain>
</file>

<file path=xl/sharedStrings.xml><?xml version="1.0" encoding="utf-8"?>
<sst xmlns="http://schemas.openxmlformats.org/spreadsheetml/2006/main" count="1869" uniqueCount="543">
  <si>
    <t>Şehir</t>
  </si>
  <si>
    <t>Üniversite</t>
  </si>
  <si>
    <t>Tür</t>
  </si>
  <si>
    <t>Geleneksel Kuruluş</t>
  </si>
  <si>
    <t>Adana</t>
  </si>
  <si>
    <t>Adana Alparslan Türkeş Bilim ve Teknoloji Üniversitesi (ATÜ)</t>
  </si>
  <si>
    <t>Devlet</t>
  </si>
  <si>
    <t>Çukurova Üniversitesi (ÇÜ)</t>
  </si>
  <si>
    <t>Adıyaman</t>
  </si>
  <si>
    <t>Adıyaman Üniversitesi (ADYÜ)</t>
  </si>
  <si>
    <t>Afyonkarahisar</t>
  </si>
  <si>
    <t>Afyon Kocatepe Üniversitesi (AKÜ)</t>
  </si>
  <si>
    <t>Afyonkarahisar Sağlık Bilimleri Üniversitesi (AFSÜ)</t>
  </si>
  <si>
    <t>Ağrı</t>
  </si>
  <si>
    <t>Ağrı İbrahim Çeçen Üniversitesi (AİÇÜ)</t>
  </si>
  <si>
    <t>Aksaray</t>
  </si>
  <si>
    <t>Aksaray Üniversitesi (ASÜ)</t>
  </si>
  <si>
    <t>Amasya</t>
  </si>
  <si>
    <t>Amasya Üniversitesi</t>
  </si>
  <si>
    <t>Jandarma ve Sahil Güvenlik Akademisi(Askeri)</t>
  </si>
  <si>
    <t>Ankara Üniversitesi (AÜ)</t>
  </si>
  <si>
    <t>Ankara Müzik ve Güzel Sanatlar Üniversitesi (MGÜ)</t>
  </si>
  <si>
    <t>Ankara Hacı Bayram Veli Üniversitesi (AHBVÜ)</t>
  </si>
  <si>
    <t>Ankara Sosyal Bilimler Üniversitesi (ASBÜ)</t>
  </si>
  <si>
    <t>Gazi Üniversitesi (GÜ)</t>
  </si>
  <si>
    <t>Hacettepe Üniversitesi (HÜ)</t>
  </si>
  <si>
    <t>Orta Doğu Teknik Üniversitesi (ODTÜ)</t>
  </si>
  <si>
    <t>Ankara Yıldırım Beyazıt Üniversitesi (AYBÜ)</t>
  </si>
  <si>
    <t>Polis Akademisi</t>
  </si>
  <si>
    <t>Anka Teknoloji Üniversitesi</t>
  </si>
  <si>
    <t>Vakıf</t>
  </si>
  <si>
    <t>Ankara Bilim Üniversitesi</t>
  </si>
  <si>
    <t>Ankara Medipol Üniversitesi</t>
  </si>
  <si>
    <t>Atılım Üniversitesi</t>
  </si>
  <si>
    <t>Başkent Üniversitesi</t>
  </si>
  <si>
    <t>Çankaya Üniversitesi</t>
  </si>
  <si>
    <t>İhsan Doğramacı Bilkent Üniversitesi</t>
  </si>
  <si>
    <t>Lokman Hekim Üniversitesi</t>
  </si>
  <si>
    <t>Ostim Teknik Üniversitesi</t>
  </si>
  <si>
    <t>TED Üniversitesi</t>
  </si>
  <si>
    <t>TOBB Ekonomi ve Teknoloji Üniversitesi</t>
  </si>
  <si>
    <t>Ufuk Üniversitesi</t>
  </si>
  <si>
    <t>Türk Hava Kurumu Üniversitesi</t>
  </si>
  <si>
    <t>Yüksek İhtisas Üniversitesi</t>
  </si>
  <si>
    <t>Antalya</t>
  </si>
  <si>
    <t>Akdeniz Üniversitesi (AKDÜ)</t>
  </si>
  <si>
    <t>Alanya Alaaddin Keykubat Üniversitesi (ALKÜ)</t>
  </si>
  <si>
    <t>Alanya Hamdullah Emin Paşa Üniversitesi</t>
  </si>
  <si>
    <t>Antalya Akev Üniversitesi</t>
  </si>
  <si>
    <t>Antalya Bilim Üniversitesi</t>
  </si>
  <si>
    <t>Ardahan</t>
  </si>
  <si>
    <t>Ardahan Üniversitesi (ARÜ)</t>
  </si>
  <si>
    <t>Artvin</t>
  </si>
  <si>
    <t>Artvin Çoruh Üniversitesi (AÇÜ)</t>
  </si>
  <si>
    <t>Aydın</t>
  </si>
  <si>
    <t>Aydın Adnan Menderes Üniversitesi (ADÜ)</t>
  </si>
  <si>
    <t>Balıkesir</t>
  </si>
  <si>
    <t>Balıkesir Üniversitesi (BAÜN)</t>
  </si>
  <si>
    <t>Bandırma Onyedi Eylül Üniversitesi (BANÜ)</t>
  </si>
  <si>
    <t>Bartın</t>
  </si>
  <si>
    <t>Bartın Üniversitesi</t>
  </si>
  <si>
    <t>Batman</t>
  </si>
  <si>
    <t>Batman Üniversitesi (BATÜ)</t>
  </si>
  <si>
    <t>Bayburt</t>
  </si>
  <si>
    <t>Bayburt Üniversitesi (BAYÜ)</t>
  </si>
  <si>
    <t>Bilecik</t>
  </si>
  <si>
    <t>Bilecik Şeyh Edebali Üniversitesi (BŞEÜ)</t>
  </si>
  <si>
    <t>Bingöl</t>
  </si>
  <si>
    <t>Bingöl Üniversitesi (BÜ)</t>
  </si>
  <si>
    <t>Bitlis</t>
  </si>
  <si>
    <t>Bitlis Eren Üniversitesi (BEÜ)</t>
  </si>
  <si>
    <t>Bolu</t>
  </si>
  <si>
    <t>Bolu Abant İzzet Baysal Üniversitesi (AİBÜ)</t>
  </si>
  <si>
    <t>Burdur</t>
  </si>
  <si>
    <t>Burdur Mehmet Akif Ersoy Üniversitesi (MAKÜ)</t>
  </si>
  <si>
    <t>Bursa</t>
  </si>
  <si>
    <t>Bursa Teknik Üniversitesi (BTÜ)</t>
  </si>
  <si>
    <t>Bursa Uludağ Üniversitesi (BUÜ)</t>
  </si>
  <si>
    <t>Mudanya Üniversitesi</t>
  </si>
  <si>
    <t>Çanakkale</t>
  </si>
  <si>
    <t>Çanakkale Onsekiz Mart Üniversitesi (ÇOMÜ)</t>
  </si>
  <si>
    <t>Çankırı</t>
  </si>
  <si>
    <t>Çankırı Karatekin Üniversitesi (ÇAKÜ)</t>
  </si>
  <si>
    <t>Çorum</t>
  </si>
  <si>
    <t>Hitit Üniversitesi (HİTÜ)</t>
  </si>
  <si>
    <t>Denizli</t>
  </si>
  <si>
    <t>Pamukkale Üniversitesi (PAÜ)</t>
  </si>
  <si>
    <t>Diyarbakır</t>
  </si>
  <si>
    <t>Dicle Üniversitesi (DÜ)</t>
  </si>
  <si>
    <t>Düzce</t>
  </si>
  <si>
    <t>Düzce Üniversitesi (DÜ)</t>
  </si>
  <si>
    <t>Edirne</t>
  </si>
  <si>
    <t>Trakya Üniversitesi (TÜ)</t>
  </si>
  <si>
    <t>Elazığ</t>
  </si>
  <si>
    <t>Fırat Üniversitesi (FÜ)</t>
  </si>
  <si>
    <t>Erzincan</t>
  </si>
  <si>
    <t>Erzincan Binali Yıldırım Üniversitesi (EBYÜ)</t>
  </si>
  <si>
    <t>Erzurum</t>
  </si>
  <si>
    <t>Atatürk Üniversitesi (ATAÜNİ)</t>
  </si>
  <si>
    <t>Erzurum Teknik Üniversitesi (ETÜ)</t>
  </si>
  <si>
    <t>Eskişehir</t>
  </si>
  <si>
    <t>Anadolu Üniversitesi (ANAÜ)</t>
  </si>
  <si>
    <t>Eskişehir Osmangazi Üniversitesi (ESOGÜ)</t>
  </si>
  <si>
    <t>Eskişehir Teknik Üniversitesi (ESTÜ)</t>
  </si>
  <si>
    <t>Gaziantep</t>
  </si>
  <si>
    <t>Gaziantep Üniversitesi (GAÜN)</t>
  </si>
  <si>
    <t>Gaziantep İslam Bilim ve Teknoloji Üniversitesi (GİBTÜ)</t>
  </si>
  <si>
    <t>Hasan Kalyoncu Üniversitesi</t>
  </si>
  <si>
    <t>Sanko Üniversitesi</t>
  </si>
  <si>
    <t>Giresun</t>
  </si>
  <si>
    <t>Giresun Üniversitesi (GRÜ)</t>
  </si>
  <si>
    <t>Gümüşhane</t>
  </si>
  <si>
    <t>Gümüşhane Üniversitesi (GŞÜ)</t>
  </si>
  <si>
    <t>Hakkari Üniversitesi</t>
  </si>
  <si>
    <t>Hatay</t>
  </si>
  <si>
    <t>İskenderun Teknik Üniversitesi (İSTE)</t>
  </si>
  <si>
    <t>Hatay Mustafa Kemal Üniversitesi (MKÜ)</t>
  </si>
  <si>
    <t>Iğdır</t>
  </si>
  <si>
    <t>Iğdır Üniversitesi (IĞDÜ)</t>
  </si>
  <si>
    <t>Isparta</t>
  </si>
  <si>
    <t>Süleyman Demirel Üniversitesi (SDÜ)</t>
  </si>
  <si>
    <t>Isparta Uygulamalı Bilimler Üniversitesi (ISUBÜ)</t>
  </si>
  <si>
    <t>İstanbul</t>
  </si>
  <si>
    <t>Boğaziçi Üniversitesi (BOÜN)</t>
  </si>
  <si>
    <t>Galatasaray Üniversitesi (GSÜ)</t>
  </si>
  <si>
    <t>İstanbul Medeniyet Üniversitesi (İMÜ)</t>
  </si>
  <si>
    <t>İstanbul Teknik Üniversitesi (İTÜ)</t>
  </si>
  <si>
    <t>İstanbul Üniversitesi (İÜ)</t>
  </si>
  <si>
    <t>İstanbul Üniversitesi-Cerrahpaşa (İÜC)</t>
  </si>
  <si>
    <t>Marmara Üniversitesi (MÜ)</t>
  </si>
  <si>
    <t>Milli Savunma Üniversitesi (Askerî) (MSÜ)</t>
  </si>
  <si>
    <t>Mimar Sinan Güzel Sanatlar Üniversitesi (MSGSÜ)</t>
  </si>
  <si>
    <t>Türkiye Uluslararası İslam, Bilim ve Teknoloji Üniversitesi</t>
  </si>
  <si>
    <t>Türk-Alman Üniversitesi (TAÜ)</t>
  </si>
  <si>
    <t>Türk-Japon Bilim ve Teknoloji Üniversitesi (TJÜ)</t>
  </si>
  <si>
    <t>Sağlık Bilimleri Üniversitesi (SBÜ)</t>
  </si>
  <si>
    <t>Yıldız Teknik Üniversitesi (YTÜ)</t>
  </si>
  <si>
    <t>Acıbadem Üniversitesi</t>
  </si>
  <si>
    <t>Bahçeşehir Üniversitesi</t>
  </si>
  <si>
    <t>Beykent Üniversitesi</t>
  </si>
  <si>
    <t>Bezmialem Vakıf Üniversitesi</t>
  </si>
  <si>
    <t>Biruni Üniversitesi</t>
  </si>
  <si>
    <t>Doğuş Üniversitesi</t>
  </si>
  <si>
    <t>Fatih Sultan Mehmet Üniversitesi</t>
  </si>
  <si>
    <t>Fenerbahçe Üniversitesi</t>
  </si>
  <si>
    <t>Haliç Üniversitesi</t>
  </si>
  <si>
    <t>Işık Üniversitesi</t>
  </si>
  <si>
    <t>İbn Haldun Üniversitesi</t>
  </si>
  <si>
    <t>İstanbul 29 Mayıs Üniversitesi</t>
  </si>
  <si>
    <t>Altınbaş Üniversitesi</t>
  </si>
  <si>
    <t>İstanbul Arel Üniversitesi</t>
  </si>
  <si>
    <t>İstanbul Atlas Üniversitesi</t>
  </si>
  <si>
    <t>İstanbul Aydın Üniversitesi</t>
  </si>
  <si>
    <t>Beykoz Üniversitesi</t>
  </si>
  <si>
    <t>İstanbul Bilgi Üniversitesi</t>
  </si>
  <si>
    <t>İstanbul Galata Üniversitesi</t>
  </si>
  <si>
    <t>Demiroğlu Bilim Üniversitesi</t>
  </si>
  <si>
    <t>İstanbul Ticaret Üniversitesi</t>
  </si>
  <si>
    <t>İstanbul Esenyurt Üniversitesi</t>
  </si>
  <si>
    <t>İstanbul Gedik Üniversitesi</t>
  </si>
  <si>
    <t>İstanbul Gelişim Üniversitesi</t>
  </si>
  <si>
    <t>İstanbul Kent Üniversitesi</t>
  </si>
  <si>
    <t>İstanbul Kültür Üniversitesi</t>
  </si>
  <si>
    <t>İstanbul Medipol Üniversitesi</t>
  </si>
  <si>
    <t>İstanbul Okan Üniversitesi</t>
  </si>
  <si>
    <t>İstanbul Rumeli Üniversitesi</t>
  </si>
  <si>
    <t>İstanbul Sabahattin Zaim Üniversitesi</t>
  </si>
  <si>
    <t>İstanbul Topkapı Üniversitesi</t>
  </si>
  <si>
    <t>İstinye Üniversitesi</t>
  </si>
  <si>
    <t>Kadir Has Üniversitesi</t>
  </si>
  <si>
    <t>Koç Üniversitesi</t>
  </si>
  <si>
    <t>Maltepe Üniversitesi</t>
  </si>
  <si>
    <t>MEF Üniversitesi</t>
  </si>
  <si>
    <t>Nişantaşı Üniversitesi</t>
  </si>
  <si>
    <t>Özyeğin Üniversitesi</t>
  </si>
  <si>
    <t>Piri Reis Üniversitesi</t>
  </si>
  <si>
    <t>Sabancı Üniversitesi</t>
  </si>
  <si>
    <t>İstanbul Sağlık ve Teknoloji Üniversitesi</t>
  </si>
  <si>
    <t>Üsküdar Üniversitesi</t>
  </si>
  <si>
    <t>Yeditepe Üniversitesi</t>
  </si>
  <si>
    <t>Yeni Yüzyıl Üniversitesi</t>
  </si>
  <si>
    <t>İzmir</t>
  </si>
  <si>
    <t>Dokuz Eylül Üniversitesi (DEÜ)</t>
  </si>
  <si>
    <t>Ege Üniversitesi (EÜ)</t>
  </si>
  <si>
    <t>İzmir Yüksek Teknoloji Enstitüsü (İYTE)</t>
  </si>
  <si>
    <t>İzmir Kâtip Çelebi Üniversitesi (İKÇÜ)</t>
  </si>
  <si>
    <t>İzmir Bakırçay Üniversitesi</t>
  </si>
  <si>
    <t>İzmir Demokrasi Üniversitesi (İDÜ)</t>
  </si>
  <si>
    <t>İzmir Ekonomi Üniversitesi</t>
  </si>
  <si>
    <t>İzmir Tınaztepe Üniversitesi</t>
  </si>
  <si>
    <t>Yaşar Üniversitesi</t>
  </si>
  <si>
    <t>Kahramanmaraş</t>
  </si>
  <si>
    <t>Kahramanmaraş Sütçü İmam Üniversitesi (KSÜ)</t>
  </si>
  <si>
    <t>Kahramanmaraş İstiklal Üniversitesi (KİÜ)</t>
  </si>
  <si>
    <t>Karabük</t>
  </si>
  <si>
    <t>Karabük Üniversitesi (KBÜ)</t>
  </si>
  <si>
    <t>Karaman</t>
  </si>
  <si>
    <t>Karamanoğlu Mehmetbey Üniversitesi (KMÜ)</t>
  </si>
  <si>
    <t>Kars</t>
  </si>
  <si>
    <t>Kafkas Üniversitesi (KAÜ)</t>
  </si>
  <si>
    <t>Kastamonu</t>
  </si>
  <si>
    <t>Kastamonu Üniversitesi (KÜ)</t>
  </si>
  <si>
    <t>Kayseri</t>
  </si>
  <si>
    <t>Abdullah Gül Üniversitesi (AGÜ)</t>
  </si>
  <si>
    <t>Erciyes Üniversitesi (ERÜ)</t>
  </si>
  <si>
    <t>Kayseri Üniversitesi (KAYÜ)</t>
  </si>
  <si>
    <t>Nuh Naci Yazgan Üniversitesi</t>
  </si>
  <si>
    <t>Kırıkkale</t>
  </si>
  <si>
    <t>Kırıkkale Üniversitesi (KKÜ)</t>
  </si>
  <si>
    <t>Kırklareli</t>
  </si>
  <si>
    <t>Kırklareli Üniversitesi (KLÜ)</t>
  </si>
  <si>
    <t>Kırşehir</t>
  </si>
  <si>
    <t>Kırşehir Ahi Evran Üniversitesi (KAEÜ)</t>
  </si>
  <si>
    <t>Kilis</t>
  </si>
  <si>
    <t>Kilis 7 Aralık Üniversitesi (KİYÜ)</t>
  </si>
  <si>
    <t>Kocaeli</t>
  </si>
  <si>
    <t>Gebze Teknik Üniversitesi (GTÜ)</t>
  </si>
  <si>
    <t>Kocaeli Üniversitesi (KOÜ)</t>
  </si>
  <si>
    <t>Kocaeli Sağlık ve Teknoloji Üniversitesi</t>
  </si>
  <si>
    <t>Konya</t>
  </si>
  <si>
    <t>Konya Teknik Üniversitesi (KTÜN)</t>
  </si>
  <si>
    <t>Necmettin Erbakan Üniversitesi (NEÜ)</t>
  </si>
  <si>
    <t>Selçuk Üniversitesi (SÜ)</t>
  </si>
  <si>
    <t>Konya Gıda ve Tarım Üniversitesi</t>
  </si>
  <si>
    <t>KTO Karatay Üniversitesi</t>
  </si>
  <si>
    <t>Kütahya</t>
  </si>
  <si>
    <t>Kütahya Dumlupınar Üniversitesi (DPÜ)</t>
  </si>
  <si>
    <t>Kütahya Sağlık Bilimleri Üniversitesi (KSBÜ)</t>
  </si>
  <si>
    <t>Malatya</t>
  </si>
  <si>
    <t>İnönü Üniversitesi (İNÜ)</t>
  </si>
  <si>
    <t>Malatya Turgut Özal Üniversitesi (MTÜ)</t>
  </si>
  <si>
    <t>Manisa</t>
  </si>
  <si>
    <t>Manisa Celal Bayar Üniversitesi (MCBÜ)</t>
  </si>
  <si>
    <t>Mardin</t>
  </si>
  <si>
    <t>Mardin Artuklu Üniversitesi (MAÜ)</t>
  </si>
  <si>
    <t>Mersin</t>
  </si>
  <si>
    <t>Mersin Üniversitesi (MEÜ)</t>
  </si>
  <si>
    <t>Tarsus Üniversitesi</t>
  </si>
  <si>
    <t>Çağ Üniversitesi</t>
  </si>
  <si>
    <t>Toros Üniversitesi</t>
  </si>
  <si>
    <t>Muğla</t>
  </si>
  <si>
    <t>Muğla Sıtkı Koçman Üniversitesi (MSKÜ)</t>
  </si>
  <si>
    <t>Muş</t>
  </si>
  <si>
    <t>Muş Alparslan Üniversitesi (MŞÜ)</t>
  </si>
  <si>
    <t>Nevşehir</t>
  </si>
  <si>
    <t>Nevşehir Hacı Bektaş Veli Üniversitesi (NEVÜ)</t>
  </si>
  <si>
    <t>Kapadokya Üniversitesi</t>
  </si>
  <si>
    <t>Niğde</t>
  </si>
  <si>
    <t>Niğde Ömer Halisdemir Üniversitesi (OHÜ)</t>
  </si>
  <si>
    <t>Ordu</t>
  </si>
  <si>
    <t>Ordu Üniversitesi (ODÜ)</t>
  </si>
  <si>
    <t>Osmaniye</t>
  </si>
  <si>
    <t>Osmaniye Korkut Ata Üniversitesi (OKÜ)</t>
  </si>
  <si>
    <t>Rize</t>
  </si>
  <si>
    <t>Recep Tayyip Erdoğan Üniversitesi (RTEÜ)</t>
  </si>
  <si>
    <t>Sakarya</t>
  </si>
  <si>
    <t>Sakarya Üniversitesi (SAÜ)</t>
  </si>
  <si>
    <t>Sakarya Uygulamalı Bilimler Üniversitesi</t>
  </si>
  <si>
    <t>Samsun</t>
  </si>
  <si>
    <t>Ondokuz Mayıs Üniversitesi (OMÜ)</t>
  </si>
  <si>
    <t>Samsun Üniversitesi (SAMÜ)</t>
  </si>
  <si>
    <t>Siirt</t>
  </si>
  <si>
    <t>Siirt Üniversitesi (SİÜ)</t>
  </si>
  <si>
    <t>Sinop</t>
  </si>
  <si>
    <t>Sinop Üniversitesi (SNÜ)</t>
  </si>
  <si>
    <t>Sivas</t>
  </si>
  <si>
    <t>Sivas Cumhuriyet Üniversitesi (SCÜ)</t>
  </si>
  <si>
    <t>Sivas Bilim ve Teknoloji Üniversitesi (SBTÜ)</t>
  </si>
  <si>
    <t>Şanlıurfa</t>
  </si>
  <si>
    <t>Harran Üniversitesi (HRÜ)</t>
  </si>
  <si>
    <t>Şırnak</t>
  </si>
  <si>
    <t>Şırnak Üniversitesi (ŞÜ)</t>
  </si>
  <si>
    <t>Tekirdağ</t>
  </si>
  <si>
    <t>Tekirdağ Namık Kemal Üniversitesi (NKÜ)</t>
  </si>
  <si>
    <t>Tokat</t>
  </si>
  <si>
    <t>Tokat Gaziosmanpaşa Üniversitesi (TOGÜ)</t>
  </si>
  <si>
    <t>Trabzon</t>
  </si>
  <si>
    <t>Karadeniz Teknik Üniversitesi (KTÜ)</t>
  </si>
  <si>
    <t>Trabzon Üniversitesi (TRÜ)</t>
  </si>
  <si>
    <t>Avrasya Üniversitesi</t>
  </si>
  <si>
    <t>Tunceli</t>
  </si>
  <si>
    <t>Munzur Üniversitesi (MUNÜ)</t>
  </si>
  <si>
    <t>Uşak</t>
  </si>
  <si>
    <t>Uşak Üniversitesi (UÜ)</t>
  </si>
  <si>
    <t>Van</t>
  </si>
  <si>
    <t>Van Yüzüncü Yıl Üniversitesi (YYÜ)</t>
  </si>
  <si>
    <t>Yalova</t>
  </si>
  <si>
    <t>Yalova Üniversitesi (YÜ)</t>
  </si>
  <si>
    <t>Yozgat</t>
  </si>
  <si>
    <t>Yozgat Bozok Üniversitesi (YOBÜ)</t>
  </si>
  <si>
    <t>Zonguldak</t>
  </si>
  <si>
    <t>Zonguldak Bülent Ecevit Üniversitesi (BEÜN)</t>
  </si>
  <si>
    <t>Ankara</t>
  </si>
  <si>
    <t>Öğretim Dili</t>
  </si>
  <si>
    <t>Öğrenci Sayısı</t>
  </si>
  <si>
    <t>yabancı dil</t>
  </si>
  <si>
    <t>karışık</t>
  </si>
  <si>
    <t>türkçe</t>
  </si>
  <si>
    <t>x</t>
  </si>
  <si>
    <t>Bölge</t>
  </si>
  <si>
    <t>Büyükşehir</t>
  </si>
  <si>
    <t>Id</t>
  </si>
  <si>
    <t>SehirAd</t>
  </si>
  <si>
    <t>Nufus</t>
  </si>
  <si>
    <t>BolgeId</t>
  </si>
  <si>
    <t>BolgeAd</t>
  </si>
  <si>
    <t>Akdeniz Bölgesi</t>
  </si>
  <si>
    <t>Güneydoğu Anadolu Bölgesi</t>
  </si>
  <si>
    <t>Ege Bölgesi</t>
  </si>
  <si>
    <t>Doğu Anadolu Bölgesi</t>
  </si>
  <si>
    <t>Karadeniz Bölgesi</t>
  </si>
  <si>
    <t>İç Anadolu Bölgesi</t>
  </si>
  <si>
    <t>Marmara Bölgesi</t>
  </si>
  <si>
    <t>Hakkari</t>
  </si>
  <si>
    <t>Nüfus</t>
  </si>
  <si>
    <t>evet</t>
  </si>
  <si>
    <t>hayır</t>
  </si>
  <si>
    <t>Rank</t>
  </si>
  <si>
    <t>Institution</t>
  </si>
  <si>
    <t>Score</t>
  </si>
  <si>
    <t>86.8</t>
  </si>
  <si>
    <t>86.6</t>
  </si>
  <si>
    <t>85.8</t>
  </si>
  <si>
    <t>85.4</t>
  </si>
  <si>
    <t>83.8</t>
  </si>
  <si>
    <t>83.5</t>
  </si>
  <si>
    <t>78.5</t>
  </si>
  <si>
    <t>76.5</t>
  </si>
  <si>
    <t>75.1</t>
  </si>
  <si>
    <t>İzmir Institute of Technology</t>
  </si>
  <si>
    <t>73.8</t>
  </si>
  <si>
    <t>73.4</t>
  </si>
  <si>
    <t>72.8</t>
  </si>
  <si>
    <t>72.6</t>
  </si>
  <si>
    <t>71.8</t>
  </si>
  <si>
    <t>71.5</t>
  </si>
  <si>
    <t>71.3</t>
  </si>
  <si>
    <t>70.9</t>
  </si>
  <si>
    <t>70.7</t>
  </si>
  <si>
    <t>70.6</t>
  </si>
  <si>
    <t>70.5</t>
  </si>
  <si>
    <t>70.4</t>
  </si>
  <si>
    <t>70.2</t>
  </si>
  <si>
    <t>70.1</t>
  </si>
  <si>
    <t>69.7</t>
  </si>
  <si>
    <t>69.6</t>
  </si>
  <si>
    <t>69.5</t>
  </si>
  <si>
    <t>69.3</t>
  </si>
  <si>
    <t>69.2</t>
  </si>
  <si>
    <t>69.0</t>
  </si>
  <si>
    <t>68.8</t>
  </si>
  <si>
    <t>68.6</t>
  </si>
  <si>
    <t>68.5</t>
  </si>
  <si>
    <t>68.4</t>
  </si>
  <si>
    <t>68.2</t>
  </si>
  <si>
    <t>67.9</t>
  </si>
  <si>
    <t>67.8</t>
  </si>
  <si>
    <t>67.7</t>
  </si>
  <si>
    <t>67.5</t>
  </si>
  <si>
    <t>67.4</t>
  </si>
  <si>
    <t>67.3</t>
  </si>
  <si>
    <t>67.1</t>
  </si>
  <si>
    <t>67.0</t>
  </si>
  <si>
    <t>66.9</t>
  </si>
  <si>
    <t>66.8</t>
  </si>
  <si>
    <t>66.7</t>
  </si>
  <si>
    <t>66.6</t>
  </si>
  <si>
    <t>66.5</t>
  </si>
  <si>
    <t>66.4</t>
  </si>
  <si>
    <t>66.3</t>
  </si>
  <si>
    <t>66.2</t>
  </si>
  <si>
    <t>66.1</t>
  </si>
  <si>
    <t>66.0</t>
  </si>
  <si>
    <t>65.9</t>
  </si>
  <si>
    <t>65.8</t>
  </si>
  <si>
    <t>65.7</t>
  </si>
  <si>
    <t>Batman Üniversitesi</t>
  </si>
  <si>
    <t>65.6</t>
  </si>
  <si>
    <t>65.5</t>
  </si>
  <si>
    <t>65.4</t>
  </si>
  <si>
    <t>65.3</t>
  </si>
  <si>
    <t>65.2</t>
  </si>
  <si>
    <t>65.1</t>
  </si>
  <si>
    <t>Adıyaman Üniversitesi</t>
  </si>
  <si>
    <t>65.0</t>
  </si>
  <si>
    <t>64.9</t>
  </si>
  <si>
    <t>Kilis 7 Aralık Üniversitesi</t>
  </si>
  <si>
    <t>64.7</t>
  </si>
  <si>
    <t>64.6</t>
  </si>
  <si>
    <t>64.5</t>
  </si>
  <si>
    <t>Bayburt Üniversitesi</t>
  </si>
  <si>
    <t>Şırnak Üniversitesi</t>
  </si>
  <si>
    <t>Zonguldak Bülent Ecevit Üniversitesi</t>
  </si>
  <si>
    <t>64.4</t>
  </si>
  <si>
    <t>Gümüşhane Üniversitesi</t>
  </si>
  <si>
    <t>64.3</t>
  </si>
  <si>
    <t>64.2</t>
  </si>
  <si>
    <t>Kırklareli Üniversitesi</t>
  </si>
  <si>
    <t>Bingöl Üniversitesi</t>
  </si>
  <si>
    <t>Siirt Üniversitesi</t>
  </si>
  <si>
    <t>64.1</t>
  </si>
  <si>
    <t>Muş Alparslan Üniversitesi</t>
  </si>
  <si>
    <t>Artvin Çoruh Üniversitesi</t>
  </si>
  <si>
    <t>63.9</t>
  </si>
  <si>
    <t>Uşak Üniversitesi</t>
  </si>
  <si>
    <t>Mardin Artuklu Üniversitesi</t>
  </si>
  <si>
    <t>63.8</t>
  </si>
  <si>
    <t>63.7</t>
  </si>
  <si>
    <t>63.6</t>
  </si>
  <si>
    <t>Yozg</t>
  </si>
  <si>
    <t>63.5</t>
  </si>
  <si>
    <t>Yalova Üniversitesi</t>
  </si>
  <si>
    <t>Ardahan Üniversitesi</t>
  </si>
  <si>
    <t>63.4</t>
  </si>
  <si>
    <t>Nevşehir Hacı Bektaş Veli Üniversitesi</t>
  </si>
  <si>
    <t>63.3</t>
  </si>
  <si>
    <t>Kastamonu Üniversitesi</t>
  </si>
  <si>
    <t>63.2</t>
  </si>
  <si>
    <t>Sakarya Üniversitesi</t>
  </si>
  <si>
    <t>İstanbul Üniversitesi-Cerrahpaşa</t>
  </si>
  <si>
    <t>63.1</t>
  </si>
  <si>
    <t>63.0</t>
  </si>
  <si>
    <t>62.9</t>
  </si>
  <si>
    <t>Kırşehir Ahi Evran Üniversitesi</t>
  </si>
  <si>
    <t>62.8</t>
  </si>
  <si>
    <t>62.7</t>
  </si>
  <si>
    <t>62.6</t>
  </si>
  <si>
    <t>Niğde Üniversitesi</t>
  </si>
  <si>
    <t>62.5</t>
  </si>
  <si>
    <t>Mersin Üniversitesi</t>
  </si>
  <si>
    <t>62.4</t>
  </si>
  <si>
    <t>Van Yüzüncü Yıl Üniversitesi</t>
  </si>
  <si>
    <t>62.3</t>
  </si>
  <si>
    <t>62.2</t>
  </si>
  <si>
    <t>62.1</t>
  </si>
  <si>
    <t>Kahramanmaraş Sütçü İmam Üniversitesi</t>
  </si>
  <si>
    <t>62.0</t>
  </si>
  <si>
    <t>Gaziosmanpaşa Üniversitesi</t>
  </si>
  <si>
    <t>61.9</t>
  </si>
  <si>
    <t>61.8</t>
  </si>
  <si>
    <t>Osmaniye Korkut Ata Üniversitesi</t>
  </si>
  <si>
    <t>61.7</t>
  </si>
  <si>
    <t>İzmir Katip Çelebi Üniversitesi</t>
  </si>
  <si>
    <t>Yozgat Bozok Üniversitesi</t>
  </si>
  <si>
    <t>61.6</t>
  </si>
  <si>
    <t>61.5</t>
  </si>
  <si>
    <t>61.4</t>
  </si>
  <si>
    <t>Balıkesir Üniversitesi</t>
  </si>
  <si>
    <t>Mersin Teknoloji Üniversitesi</t>
  </si>
  <si>
    <t>61.3</t>
  </si>
  <si>
    <t>61.2</t>
  </si>
  <si>
    <t>Yıldız Teknik Üniversitesi</t>
  </si>
  <si>
    <t>61.1</t>
  </si>
  <si>
    <t>Ankara Üniversitesi</t>
  </si>
  <si>
    <t>61.0</t>
  </si>
  <si>
    <t>Iğdır Üniversitesi</t>
  </si>
  <si>
    <t>60.9</t>
  </si>
  <si>
    <t>11-20</t>
  </si>
  <si>
    <t>21-40</t>
  </si>
  <si>
    <t>1-10</t>
  </si>
  <si>
    <t>41-60</t>
  </si>
  <si>
    <t>61-80</t>
  </si>
  <si>
    <t>81-100</t>
  </si>
  <si>
    <t>101-150</t>
  </si>
  <si>
    <t>150+</t>
  </si>
  <si>
    <t>Bilkent Üniversitesi</t>
  </si>
  <si>
    <t>Boğaziçi Üniversitesi</t>
  </si>
  <si>
    <t>Hacettepe Üniversitesi</t>
  </si>
  <si>
    <t>Ege Üniversitesi</t>
  </si>
  <si>
    <t>Atatürk Üniversitesi</t>
  </si>
  <si>
    <t>Gazi Üniversitesi</t>
  </si>
  <si>
    <t>Dokuz Eylül Üniversitesi</t>
  </si>
  <si>
    <t>Erciyes Üniversitesi</t>
  </si>
  <si>
    <t>Uludağ Üniversitesi</t>
  </si>
  <si>
    <t>Ondokuz Mayıs Üniversitesi</t>
  </si>
  <si>
    <t>Selçuk Üniversitesi</t>
  </si>
  <si>
    <t>Akdeniz Üniversitesi</t>
  </si>
  <si>
    <t>Cumhuriyet Üniversitesi</t>
  </si>
  <si>
    <t>Anadolu Üniversitesi</t>
  </si>
  <si>
    <t>Marmara Üniversitesi</t>
  </si>
  <si>
    <t>Giresun Üniversitesi</t>
  </si>
  <si>
    <t>Pamukkale Üniversitesi</t>
  </si>
  <si>
    <t>Çukurova Üniversitesi</t>
  </si>
  <si>
    <t>Mustafa Kemal Üniversitesi</t>
  </si>
  <si>
    <t>Niğde Ömer Halisdemir Üniversitesi</t>
  </si>
  <si>
    <t>Firat Üniversitesi</t>
  </si>
  <si>
    <t>Muğla Sıtkı Koçman Üniversitesi</t>
  </si>
  <si>
    <t>Celal Bayar Üniversitesi</t>
  </si>
  <si>
    <t>Kırıkkale Üniversitesi</t>
  </si>
  <si>
    <t>Dicle Üniversitesi</t>
  </si>
  <si>
    <t>Kocaeli Üniversitesi</t>
  </si>
  <si>
    <t>Harran Üniversitesi</t>
  </si>
  <si>
    <t>Trakya Üniversitesi</t>
  </si>
  <si>
    <t>Gaziantep Üniversitesi</t>
  </si>
  <si>
    <t>Dumlupinar Üniversitesi</t>
  </si>
  <si>
    <t>İnönü Üniversitesi</t>
  </si>
  <si>
    <t>Afyon Kocatepe Üniversitesi</t>
  </si>
  <si>
    <t>Recep Tayyip Erdogan Üniversitesi</t>
  </si>
  <si>
    <t>Adnan Menderes Üniversitesi</t>
  </si>
  <si>
    <t>Ağrı İbrahim Çeçen Üniversitesi</t>
  </si>
  <si>
    <t>Balikesir Üniversitesi</t>
  </si>
  <si>
    <t>Karabuk Üniversitesi</t>
  </si>
  <si>
    <t>Ordu Üniversitesi</t>
  </si>
  <si>
    <t>Kilis 7 Aralik Üniversitesi</t>
  </si>
  <si>
    <t>Bozok Üniversitesi</t>
  </si>
  <si>
    <t>Süleyman Demirel Üniversitesi</t>
  </si>
  <si>
    <t>Necmettin Erbakan Üniversitesi</t>
  </si>
  <si>
    <t>Bitlis Eren Üniversitesi</t>
  </si>
  <si>
    <t>Kahramanmaras Sutcu Imam Üniversitesi</t>
  </si>
  <si>
    <t>Erzincan Binali Yildirim Üniversitesi</t>
  </si>
  <si>
    <t>Sinop Üniversitesi</t>
  </si>
  <si>
    <t>Adana Alparslan Turkes Science and Technology Üniversitesi</t>
  </si>
  <si>
    <t>Tokat Gaziosmanpasa Üniversitesi</t>
  </si>
  <si>
    <t>Çankırı Karatekin Üniversitesi</t>
  </si>
  <si>
    <t>Bolu Abant Izzet Baysal Üniversitesi</t>
  </si>
  <si>
    <t>Karamanoğlu Mehmetbey Üniversitesi</t>
  </si>
  <si>
    <t>İstanbul Medeniyet Üniversitesi</t>
  </si>
  <si>
    <t>Adana Science and Technology Üniversitesi</t>
  </si>
  <si>
    <t>Aksaray Üniversitesi</t>
  </si>
  <si>
    <t>Samsun Ondokuz Mayıs Üniversitesi</t>
  </si>
  <si>
    <t>Düzce Üniversitesi</t>
  </si>
  <si>
    <t>Çanakkale Onsekiz Mart Üniversitesi</t>
  </si>
  <si>
    <t>Hatay Mustafa Kemal Üniversitesi</t>
  </si>
  <si>
    <t>Adana Bilim ve Teknoloji Üniversitesi</t>
  </si>
  <si>
    <t>Karabük Üniversitesi</t>
  </si>
  <si>
    <t>Bilecik Şeyh Edebali Üniversitesi</t>
  </si>
  <si>
    <t>Bolu Abant İzzet Baysal Üniversitesi</t>
  </si>
  <si>
    <t>Isparta Süleyman Demirel Üniversitesi</t>
  </si>
  <si>
    <t>Ankara Yıldırım Beyazıt Üniversitesi</t>
  </si>
  <si>
    <t>Bursa Uludağ Üniversitesi</t>
  </si>
  <si>
    <t>Gebze Teknik Üniversitesi</t>
  </si>
  <si>
    <t>Karadeniz Teknik Üniversitesi</t>
  </si>
  <si>
    <t>Yildiz Teknik Üniversitesi</t>
  </si>
  <si>
    <t>Eskişehir Teknik Üniversitesi</t>
  </si>
  <si>
    <t>Konya Teknik Üniversitesi</t>
  </si>
  <si>
    <t>Bursa Teknik Üniversitesi</t>
  </si>
  <si>
    <t>İstanbul Teknik Üniversitesi</t>
  </si>
  <si>
    <t>İstanbul Üniversitesi</t>
  </si>
  <si>
    <t>İstanbul Aydin Üniversitesi</t>
  </si>
  <si>
    <t>İstanbul Commerce Üniversitesi</t>
  </si>
  <si>
    <t>Orta Doğu Teknik Üniversitesi</t>
  </si>
  <si>
    <t>60+</t>
  </si>
  <si>
    <t>Sıralama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</si>
</sst>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9.6"/>
      <color rgb="FF374151"/>
      <name val="Segoe UI"/>
      <family val="2"/>
      <charset val="162"/>
    </font>
    <font>
      <sz val="9.6"/>
      <color rgb="FF374151"/>
      <name val="Segoe U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7892-C1A9-4899-A1DB-41B12BAE6940}">
  <dimension ref="A1:J208"/>
  <sheetViews>
    <sheetView tabSelected="1" workbookViewId="0">
      <selection activeCell="E1" sqref="E1:E1048576"/>
    </sheetView>
  </sheetViews>
  <sheetFormatPr defaultRowHeight="14.4" x14ac:dyDescent="0.3"/>
  <cols>
    <col min="1" max="1" width="55.88671875" bestFit="1" customWidth="1"/>
    <col min="2" max="2" width="6.88671875" style="3" bestFit="1" customWidth="1"/>
    <col min="3" max="3" width="15.33203125" bestFit="1" customWidth="1"/>
    <col min="4" max="4" width="15.33203125" style="3" customWidth="1"/>
    <col min="5" max="6" width="15.33203125" customWidth="1"/>
    <col min="7" max="7" width="18.44140625" style="3" bestFit="1" customWidth="1"/>
    <col min="8" max="8" width="12.44140625" style="10" customWidth="1"/>
    <col min="9" max="10" width="15.33203125" style="3" customWidth="1"/>
  </cols>
  <sheetData>
    <row r="1" spans="1:10" x14ac:dyDescent="0.3">
      <c r="A1" s="1" t="s">
        <v>1</v>
      </c>
      <c r="B1" s="2" t="s">
        <v>2</v>
      </c>
      <c r="C1" s="1" t="s">
        <v>0</v>
      </c>
      <c r="D1" s="2" t="s">
        <v>299</v>
      </c>
      <c r="E1" s="1" t="s">
        <v>300</v>
      </c>
      <c r="F1" s="1" t="s">
        <v>314</v>
      </c>
      <c r="G1" s="2" t="s">
        <v>3</v>
      </c>
      <c r="H1" s="9" t="s">
        <v>542</v>
      </c>
      <c r="I1" s="2" t="s">
        <v>293</v>
      </c>
      <c r="J1" s="2" t="s">
        <v>294</v>
      </c>
    </row>
    <row r="2" spans="1:10" x14ac:dyDescent="0.3">
      <c r="A2" s="1" t="s">
        <v>203</v>
      </c>
      <c r="B2" s="2" t="s">
        <v>6</v>
      </c>
      <c r="C2" s="1" t="s">
        <v>202</v>
      </c>
      <c r="D2" s="2">
        <f>VLOOKUP(C2,Bölgeler!B:F,4,FALSE)</f>
        <v>5</v>
      </c>
      <c r="E2" s="2" t="str">
        <f>VLOOKUP(C2,Bölgeler!B:F,2,FALSE)</f>
        <v>evet</v>
      </c>
      <c r="F2" s="2">
        <f>VLOOKUP(C2,Bölgeler!B:F,3,FALSE)</f>
        <v>1358980</v>
      </c>
      <c r="G2" s="2">
        <v>2010</v>
      </c>
      <c r="H2" s="9" t="s">
        <v>541</v>
      </c>
      <c r="I2" s="2" t="s">
        <v>296</v>
      </c>
      <c r="J2" s="2">
        <v>2905</v>
      </c>
    </row>
    <row r="3" spans="1:10" x14ac:dyDescent="0.3">
      <c r="A3" s="1" t="s">
        <v>137</v>
      </c>
      <c r="B3" s="2" t="s">
        <v>30</v>
      </c>
      <c r="C3" s="1" t="s">
        <v>122</v>
      </c>
      <c r="D3" s="2">
        <f>VLOOKUP(C3,Bölgeler!B:F,4,FALSE)</f>
        <v>7</v>
      </c>
      <c r="E3" s="2" t="str">
        <f>VLOOKUP(C3,Bölgeler!B:F,2,FALSE)</f>
        <v>evet</v>
      </c>
      <c r="F3" s="2">
        <f>VLOOKUP(C3,Bölgeler!B:F,3,FALSE)</f>
        <v>14804116</v>
      </c>
      <c r="G3" s="2">
        <v>2007</v>
      </c>
      <c r="H3" s="9" t="s">
        <v>541</v>
      </c>
      <c r="I3" s="2" t="s">
        <v>297</v>
      </c>
      <c r="J3" s="2">
        <v>5134</v>
      </c>
    </row>
    <row r="4" spans="1:10" x14ac:dyDescent="0.3">
      <c r="A4" s="1" t="s">
        <v>5</v>
      </c>
      <c r="B4" s="2" t="s">
        <v>6</v>
      </c>
      <c r="C4" s="1" t="s">
        <v>4</v>
      </c>
      <c r="D4" s="2">
        <f>VLOOKUP(C4,Bölgeler!B:F,4,FALSE)</f>
        <v>1</v>
      </c>
      <c r="E4" s="2" t="str">
        <f>VLOOKUP(C4,Bölgeler!B:F,2,FALSE)</f>
        <v>evet</v>
      </c>
      <c r="F4" s="2">
        <f>VLOOKUP(C4,Bölgeler!B:F,3,FALSE)</f>
        <v>2201670</v>
      </c>
      <c r="G4" s="2">
        <v>2011</v>
      </c>
      <c r="H4" s="9" t="s">
        <v>541</v>
      </c>
      <c r="I4" s="2" t="s">
        <v>297</v>
      </c>
      <c r="J4" s="2">
        <v>4192</v>
      </c>
    </row>
    <row r="5" spans="1:10" x14ac:dyDescent="0.3">
      <c r="A5" s="1" t="s">
        <v>9</v>
      </c>
      <c r="B5" s="2" t="s">
        <v>6</v>
      </c>
      <c r="C5" s="1" t="s">
        <v>8</v>
      </c>
      <c r="D5" s="2">
        <f>VLOOKUP(C5,Bölgeler!B:F,4,FALSE)</f>
        <v>4</v>
      </c>
      <c r="E5" s="2" t="str">
        <f>VLOOKUP(C5,Bölgeler!B:F,2,FALSE)</f>
        <v>hayır</v>
      </c>
      <c r="F5" s="2">
        <f>VLOOKUP(C5,Bölgeler!B:F,3,FALSE)</f>
        <v>610484</v>
      </c>
      <c r="G5" s="2">
        <v>2006</v>
      </c>
      <c r="H5" s="9" t="s">
        <v>460</v>
      </c>
      <c r="I5" s="2" t="s">
        <v>297</v>
      </c>
      <c r="J5" s="2">
        <v>18715</v>
      </c>
    </row>
    <row r="6" spans="1:10" x14ac:dyDescent="0.3">
      <c r="A6" s="1" t="s">
        <v>11</v>
      </c>
      <c r="B6" s="2" t="s">
        <v>6</v>
      </c>
      <c r="C6" s="1" t="s">
        <v>10</v>
      </c>
      <c r="D6" s="2">
        <f>VLOOKUP(C6,Bölgeler!B:F,4,FALSE)</f>
        <v>3</v>
      </c>
      <c r="E6" s="2" t="str">
        <f>VLOOKUP(C6,Bölgeler!B:F,2,FALSE)</f>
        <v>hayır</v>
      </c>
      <c r="F6" s="2">
        <f>VLOOKUP(C6,Bölgeler!B:F,3,FALSE)</f>
        <v>714523</v>
      </c>
      <c r="G6" s="2">
        <v>1992</v>
      </c>
      <c r="H6" s="9" t="s">
        <v>460</v>
      </c>
      <c r="I6" s="2" t="s">
        <v>296</v>
      </c>
      <c r="J6" s="2">
        <v>29992</v>
      </c>
    </row>
    <row r="7" spans="1:10" x14ac:dyDescent="0.3">
      <c r="A7" s="1" t="s">
        <v>12</v>
      </c>
      <c r="B7" s="2" t="s">
        <v>6</v>
      </c>
      <c r="C7" s="1" t="s">
        <v>10</v>
      </c>
      <c r="D7" s="2">
        <f>VLOOKUP(C7,Bölgeler!B:F,4,FALSE)</f>
        <v>3</v>
      </c>
      <c r="E7" s="2" t="str">
        <f>VLOOKUP(C7,Bölgeler!B:F,2,FALSE)</f>
        <v>hayır</v>
      </c>
      <c r="F7" s="2">
        <f>VLOOKUP(C7,Bölgeler!B:F,3,FALSE)</f>
        <v>714523</v>
      </c>
      <c r="G7" s="2">
        <v>2018</v>
      </c>
      <c r="H7" s="9" t="s">
        <v>541</v>
      </c>
      <c r="I7" s="2" t="s">
        <v>297</v>
      </c>
      <c r="J7" s="2">
        <v>6736</v>
      </c>
    </row>
    <row r="8" spans="1:10" x14ac:dyDescent="0.3">
      <c r="A8" s="1" t="s">
        <v>14</v>
      </c>
      <c r="B8" s="2" t="s">
        <v>6</v>
      </c>
      <c r="C8" s="1" t="s">
        <v>13</v>
      </c>
      <c r="D8" s="2">
        <f>VLOOKUP(C8,Bölgeler!B:F,4,FALSE)</f>
        <v>2</v>
      </c>
      <c r="E8" s="2" t="str">
        <f>VLOOKUP(C8,Bölgeler!B:F,2,FALSE)</f>
        <v>hayır</v>
      </c>
      <c r="F8" s="2">
        <f>VLOOKUP(C8,Bölgeler!B:F,3,FALSE)</f>
        <v>542255</v>
      </c>
      <c r="G8" s="2">
        <v>2007</v>
      </c>
      <c r="H8" s="9" t="s">
        <v>541</v>
      </c>
      <c r="I8" s="2" t="s">
        <v>297</v>
      </c>
      <c r="J8" s="2">
        <v>13470</v>
      </c>
    </row>
    <row r="9" spans="1:10" x14ac:dyDescent="0.3">
      <c r="A9" s="1" t="s">
        <v>45</v>
      </c>
      <c r="B9" s="2" t="s">
        <v>6</v>
      </c>
      <c r="C9" s="1" t="s">
        <v>44</v>
      </c>
      <c r="D9" s="2">
        <f>VLOOKUP(C9,Bölgeler!B:F,4,FALSE)</f>
        <v>1</v>
      </c>
      <c r="E9" s="2" t="str">
        <f>VLOOKUP(C9,Bölgeler!B:F,2,FALSE)</f>
        <v>evet</v>
      </c>
      <c r="F9" s="2">
        <f>VLOOKUP(C9,Bölgeler!B:F,3,FALSE)</f>
        <v>2328555</v>
      </c>
      <c r="G9" s="2">
        <v>1982</v>
      </c>
      <c r="H9" s="9" t="s">
        <v>458</v>
      </c>
      <c r="I9" s="2" t="s">
        <v>296</v>
      </c>
      <c r="J9" s="2">
        <v>64335</v>
      </c>
    </row>
    <row r="10" spans="1:10" x14ac:dyDescent="0.3">
      <c r="A10" s="1" t="s">
        <v>16</v>
      </c>
      <c r="B10" s="2" t="s">
        <v>6</v>
      </c>
      <c r="C10" s="1" t="s">
        <v>15</v>
      </c>
      <c r="D10" s="2">
        <f>VLOOKUP(C10,Bölgeler!B:F,4,FALSE)</f>
        <v>5</v>
      </c>
      <c r="E10" s="2" t="str">
        <f>VLOOKUP(C10,Bölgeler!B:F,2,FALSE)</f>
        <v>hayır</v>
      </c>
      <c r="F10" s="2">
        <f>VLOOKUP(C10,Bölgeler!B:F,3,FALSE)</f>
        <v>396673</v>
      </c>
      <c r="G10" s="2">
        <v>2006</v>
      </c>
      <c r="H10" s="9" t="s">
        <v>541</v>
      </c>
      <c r="I10" s="2" t="s">
        <v>297</v>
      </c>
      <c r="J10" s="2">
        <v>19224</v>
      </c>
    </row>
    <row r="11" spans="1:10" x14ac:dyDescent="0.3">
      <c r="A11" s="1" t="s">
        <v>46</v>
      </c>
      <c r="B11" s="2" t="s">
        <v>6</v>
      </c>
      <c r="C11" s="1" t="s">
        <v>44</v>
      </c>
      <c r="D11" s="2">
        <f>VLOOKUP(C11,Bölgeler!B:F,4,FALSE)</f>
        <v>1</v>
      </c>
      <c r="E11" s="2" t="str">
        <f>VLOOKUP(C11,Bölgeler!B:F,2,FALSE)</f>
        <v>evet</v>
      </c>
      <c r="F11" s="2">
        <f>VLOOKUP(C11,Bölgeler!B:F,3,FALSE)</f>
        <v>2328555</v>
      </c>
      <c r="G11" s="2">
        <v>2015</v>
      </c>
      <c r="H11" s="9" t="s">
        <v>541</v>
      </c>
      <c r="I11" s="2" t="s">
        <v>297</v>
      </c>
      <c r="J11" s="2">
        <v>14315</v>
      </c>
    </row>
    <row r="12" spans="1:10" x14ac:dyDescent="0.3">
      <c r="A12" s="1" t="s">
        <v>47</v>
      </c>
      <c r="B12" s="2" t="s">
        <v>30</v>
      </c>
      <c r="C12" s="1" t="s">
        <v>44</v>
      </c>
      <c r="D12" s="2">
        <f>VLOOKUP(C12,Bölgeler!B:F,4,FALSE)</f>
        <v>1</v>
      </c>
      <c r="E12" s="2" t="str">
        <f>VLOOKUP(C12,Bölgeler!B:F,2,FALSE)</f>
        <v>evet</v>
      </c>
      <c r="F12" s="2">
        <f>VLOOKUP(C12,Bölgeler!B:F,3,FALSE)</f>
        <v>2328555</v>
      </c>
      <c r="G12" s="2">
        <v>2011</v>
      </c>
      <c r="H12" s="9" t="s">
        <v>541</v>
      </c>
      <c r="I12" s="2" t="s">
        <v>297</v>
      </c>
      <c r="J12" s="2">
        <v>423</v>
      </c>
    </row>
    <row r="13" spans="1:10" x14ac:dyDescent="0.3">
      <c r="A13" s="1" t="s">
        <v>149</v>
      </c>
      <c r="B13" s="2" t="s">
        <v>30</v>
      </c>
      <c r="C13" s="1" t="s">
        <v>122</v>
      </c>
      <c r="D13" s="2">
        <f>VLOOKUP(C13,Bölgeler!B:F,4,FALSE)</f>
        <v>7</v>
      </c>
      <c r="E13" s="2" t="str">
        <f>VLOOKUP(C13,Bölgeler!B:F,2,FALSE)</f>
        <v>evet</v>
      </c>
      <c r="F13" s="2">
        <f>VLOOKUP(C13,Bölgeler!B:F,3,FALSE)</f>
        <v>14804116</v>
      </c>
      <c r="G13" s="2">
        <v>2008</v>
      </c>
      <c r="H13" s="9" t="s">
        <v>541</v>
      </c>
      <c r="I13" s="2" t="s">
        <v>297</v>
      </c>
      <c r="J13" s="2">
        <v>12451</v>
      </c>
    </row>
    <row r="14" spans="1:10" x14ac:dyDescent="0.3">
      <c r="A14" s="1" t="s">
        <v>18</v>
      </c>
      <c r="B14" s="2" t="s">
        <v>6</v>
      </c>
      <c r="C14" s="1" t="s">
        <v>17</v>
      </c>
      <c r="D14" s="2">
        <f>VLOOKUP(C14,Bölgeler!B:F,4,FALSE)</f>
        <v>6</v>
      </c>
      <c r="E14" s="2" t="str">
        <f>VLOOKUP(C14,Bölgeler!B:F,2,FALSE)</f>
        <v>hayır</v>
      </c>
      <c r="F14" s="2">
        <f>VLOOKUP(C14,Bölgeler!B:F,3,FALSE)</f>
        <v>326351</v>
      </c>
      <c r="G14" s="2">
        <v>2006</v>
      </c>
      <c r="H14" s="9" t="s">
        <v>541</v>
      </c>
      <c r="I14" s="2" t="s">
        <v>297</v>
      </c>
      <c r="J14" s="2">
        <v>16299</v>
      </c>
    </row>
    <row r="15" spans="1:10" x14ac:dyDescent="0.3">
      <c r="A15" s="1" t="s">
        <v>101</v>
      </c>
      <c r="B15" s="2" t="s">
        <v>6</v>
      </c>
      <c r="C15" s="1" t="s">
        <v>100</v>
      </c>
      <c r="D15" s="2">
        <f>VLOOKUP(C15,Bölgeler!B:F,4,FALSE)</f>
        <v>5</v>
      </c>
      <c r="E15" s="2" t="str">
        <f>VLOOKUP(C15,Bölgeler!B:F,2,FALSE)</f>
        <v>evet</v>
      </c>
      <c r="F15" s="2">
        <f>VLOOKUP(C15,Bölgeler!B:F,3,FALSE)</f>
        <v>844842</v>
      </c>
      <c r="G15" s="2">
        <v>1958</v>
      </c>
      <c r="H15" s="9" t="s">
        <v>458</v>
      </c>
      <c r="I15" s="2" t="s">
        <v>295</v>
      </c>
      <c r="J15" s="2">
        <v>3538594</v>
      </c>
    </row>
    <row r="16" spans="1:10" x14ac:dyDescent="0.3">
      <c r="A16" s="1" t="s">
        <v>29</v>
      </c>
      <c r="B16" s="2" t="s">
        <v>30</v>
      </c>
      <c r="C16" s="1" t="s">
        <v>292</v>
      </c>
      <c r="D16" s="2">
        <f>VLOOKUP(C16,Bölgeler!B:F,4,FALSE)</f>
        <v>5</v>
      </c>
      <c r="E16" s="2" t="str">
        <f>VLOOKUP(C16,Bölgeler!B:F,2,FALSE)</f>
        <v>evet</v>
      </c>
      <c r="F16" s="2">
        <f>VLOOKUP(C16,Bölgeler!B:F,3,FALSE)</f>
        <v>5346518</v>
      </c>
      <c r="G16" s="2">
        <v>2013</v>
      </c>
      <c r="H16" s="9" t="s">
        <v>541</v>
      </c>
      <c r="I16" s="2" t="s">
        <v>297</v>
      </c>
      <c r="J16" s="2" t="s">
        <v>298</v>
      </c>
    </row>
    <row r="17" spans="1:10" x14ac:dyDescent="0.3">
      <c r="A17" s="1" t="s">
        <v>31</v>
      </c>
      <c r="B17" s="2" t="s">
        <v>30</v>
      </c>
      <c r="C17" s="1" t="s">
        <v>292</v>
      </c>
      <c r="D17" s="2">
        <f>VLOOKUP(C17,Bölgeler!B:F,4,FALSE)</f>
        <v>5</v>
      </c>
      <c r="E17" s="2" t="str">
        <f>VLOOKUP(C17,Bölgeler!B:F,2,FALSE)</f>
        <v>evet</v>
      </c>
      <c r="F17" s="2">
        <f>VLOOKUP(C17,Bölgeler!B:F,3,FALSE)</f>
        <v>5346518</v>
      </c>
      <c r="G17" s="2">
        <v>2020</v>
      </c>
      <c r="H17" s="9" t="s">
        <v>541</v>
      </c>
      <c r="I17" s="2" t="s">
        <v>297</v>
      </c>
      <c r="J17" s="2">
        <v>708</v>
      </c>
    </row>
    <row r="18" spans="1:10" x14ac:dyDescent="0.3">
      <c r="A18" s="1" t="s">
        <v>22</v>
      </c>
      <c r="B18" s="2" t="s">
        <v>6</v>
      </c>
      <c r="C18" s="1" t="s">
        <v>292</v>
      </c>
      <c r="D18" s="2">
        <f>VLOOKUP(C18,Bölgeler!B:F,4,FALSE)</f>
        <v>5</v>
      </c>
      <c r="E18" s="2" t="str">
        <f>VLOOKUP(C18,Bölgeler!B:F,2,FALSE)</f>
        <v>evet</v>
      </c>
      <c r="F18" s="2">
        <f>VLOOKUP(C18,Bölgeler!B:F,3,FALSE)</f>
        <v>5346518</v>
      </c>
      <c r="G18" s="2">
        <v>2018</v>
      </c>
      <c r="H18" s="9" t="s">
        <v>541</v>
      </c>
      <c r="I18" s="2" t="s">
        <v>297</v>
      </c>
      <c r="J18" s="2">
        <v>25935</v>
      </c>
    </row>
    <row r="19" spans="1:10" x14ac:dyDescent="0.3">
      <c r="A19" s="1" t="s">
        <v>32</v>
      </c>
      <c r="B19" s="2" t="s">
        <v>30</v>
      </c>
      <c r="C19" s="1" t="s">
        <v>292</v>
      </c>
      <c r="D19" s="2">
        <f>VLOOKUP(C19,Bölgeler!B:F,4,FALSE)</f>
        <v>5</v>
      </c>
      <c r="E19" s="2" t="str">
        <f>VLOOKUP(C19,Bölgeler!B:F,2,FALSE)</f>
        <v>evet</v>
      </c>
      <c r="F19" s="2">
        <f>VLOOKUP(C19,Bölgeler!B:F,3,FALSE)</f>
        <v>5346518</v>
      </c>
      <c r="G19" s="2">
        <v>2018</v>
      </c>
      <c r="H19" s="9" t="s">
        <v>541</v>
      </c>
      <c r="I19" s="2" t="s">
        <v>297</v>
      </c>
      <c r="J19" s="2">
        <v>4626</v>
      </c>
    </row>
    <row r="20" spans="1:10" x14ac:dyDescent="0.3">
      <c r="A20" s="1" t="s">
        <v>21</v>
      </c>
      <c r="B20" s="2" t="s">
        <v>6</v>
      </c>
      <c r="C20" s="1" t="s">
        <v>292</v>
      </c>
      <c r="D20" s="2">
        <f>VLOOKUP(C20,Bölgeler!B:F,4,FALSE)</f>
        <v>5</v>
      </c>
      <c r="E20" s="2" t="str">
        <f>VLOOKUP(C20,Bölgeler!B:F,2,FALSE)</f>
        <v>evet</v>
      </c>
      <c r="F20" s="2">
        <f>VLOOKUP(C20,Bölgeler!B:F,3,FALSE)</f>
        <v>5346518</v>
      </c>
      <c r="G20" s="2">
        <v>2017</v>
      </c>
      <c r="H20" s="9" t="s">
        <v>541</v>
      </c>
      <c r="I20" s="2" t="s">
        <v>297</v>
      </c>
      <c r="J20" s="2">
        <v>575</v>
      </c>
    </row>
    <row r="21" spans="1:10" x14ac:dyDescent="0.3">
      <c r="A21" s="1" t="s">
        <v>23</v>
      </c>
      <c r="B21" s="2" t="s">
        <v>6</v>
      </c>
      <c r="C21" s="1" t="s">
        <v>292</v>
      </c>
      <c r="D21" s="2">
        <f>VLOOKUP(C21,Bölgeler!B:F,4,FALSE)</f>
        <v>5</v>
      </c>
      <c r="E21" s="2" t="str">
        <f>VLOOKUP(C21,Bölgeler!B:F,2,FALSE)</f>
        <v>evet</v>
      </c>
      <c r="F21" s="2">
        <f>VLOOKUP(C21,Bölgeler!B:F,3,FALSE)</f>
        <v>5346518</v>
      </c>
      <c r="G21" s="2">
        <v>2013</v>
      </c>
      <c r="H21" s="9" t="s">
        <v>541</v>
      </c>
      <c r="I21" s="2" t="s">
        <v>297</v>
      </c>
      <c r="J21" s="2">
        <v>4079</v>
      </c>
    </row>
    <row r="22" spans="1:10" x14ac:dyDescent="0.3">
      <c r="A22" s="1" t="s">
        <v>20</v>
      </c>
      <c r="B22" s="2" t="s">
        <v>6</v>
      </c>
      <c r="C22" s="1" t="s">
        <v>292</v>
      </c>
      <c r="D22" s="2">
        <f>VLOOKUP(C22,Bölgeler!B:F,4,FALSE)</f>
        <v>5</v>
      </c>
      <c r="E22" s="2" t="str">
        <f>VLOOKUP(C22,Bölgeler!B:F,2,FALSE)</f>
        <v>evet</v>
      </c>
      <c r="F22" s="2">
        <f>VLOOKUP(C22,Bölgeler!B:F,3,FALSE)</f>
        <v>5346518</v>
      </c>
      <c r="G22" s="2">
        <v>1842</v>
      </c>
      <c r="H22" s="9" t="s">
        <v>459</v>
      </c>
      <c r="I22" s="2" t="s">
        <v>296</v>
      </c>
      <c r="J22" s="2">
        <v>70221</v>
      </c>
    </row>
    <row r="23" spans="1:10" x14ac:dyDescent="0.3">
      <c r="A23" s="1" t="s">
        <v>27</v>
      </c>
      <c r="B23" s="2" t="s">
        <v>6</v>
      </c>
      <c r="C23" s="1" t="s">
        <v>292</v>
      </c>
      <c r="D23" s="2">
        <f>VLOOKUP(C23,Bölgeler!B:F,4,FALSE)</f>
        <v>5</v>
      </c>
      <c r="E23" s="2" t="str">
        <f>VLOOKUP(C23,Bölgeler!B:F,2,FALSE)</f>
        <v>evet</v>
      </c>
      <c r="F23" s="2">
        <f>VLOOKUP(C23,Bölgeler!B:F,3,FALSE)</f>
        <v>5346518</v>
      </c>
      <c r="G23" s="2">
        <v>2010</v>
      </c>
      <c r="H23" s="9" t="s">
        <v>541</v>
      </c>
      <c r="I23" s="2" t="s">
        <v>297</v>
      </c>
      <c r="J23" s="2">
        <v>24166</v>
      </c>
    </row>
    <row r="24" spans="1:10" x14ac:dyDescent="0.3">
      <c r="A24" s="1" t="s">
        <v>48</v>
      </c>
      <c r="B24" s="2" t="s">
        <v>30</v>
      </c>
      <c r="C24" s="1" t="s">
        <v>44</v>
      </c>
      <c r="D24" s="2">
        <f>VLOOKUP(C24,Bölgeler!B:F,4,FALSE)</f>
        <v>1</v>
      </c>
      <c r="E24" s="2" t="str">
        <f>VLOOKUP(C24,Bölgeler!B:F,2,FALSE)</f>
        <v>evet</v>
      </c>
      <c r="F24" s="2">
        <f>VLOOKUP(C24,Bölgeler!B:F,3,FALSE)</f>
        <v>2328555</v>
      </c>
      <c r="G24" s="2">
        <v>2015</v>
      </c>
      <c r="H24" s="9" t="s">
        <v>541</v>
      </c>
      <c r="I24" s="2" t="s">
        <v>297</v>
      </c>
      <c r="J24" s="2">
        <v>1067</v>
      </c>
    </row>
    <row r="25" spans="1:10" x14ac:dyDescent="0.3">
      <c r="A25" s="1" t="s">
        <v>49</v>
      </c>
      <c r="B25" s="2" t="s">
        <v>30</v>
      </c>
      <c r="C25" s="1" t="s">
        <v>44</v>
      </c>
      <c r="D25" s="2">
        <f>VLOOKUP(C25,Bölgeler!B:F,4,FALSE)</f>
        <v>1</v>
      </c>
      <c r="E25" s="2" t="str">
        <f>VLOOKUP(C25,Bölgeler!B:F,2,FALSE)</f>
        <v>evet</v>
      </c>
      <c r="F25" s="2">
        <f>VLOOKUP(C25,Bölgeler!B:F,3,FALSE)</f>
        <v>2328555</v>
      </c>
      <c r="G25" s="2">
        <v>2010</v>
      </c>
      <c r="H25" s="9" t="s">
        <v>541</v>
      </c>
      <c r="I25" s="2" t="s">
        <v>297</v>
      </c>
      <c r="J25" s="2">
        <v>5524</v>
      </c>
    </row>
    <row r="26" spans="1:10" x14ac:dyDescent="0.3">
      <c r="A26" s="1" t="s">
        <v>51</v>
      </c>
      <c r="B26" s="2" t="s">
        <v>6</v>
      </c>
      <c r="C26" s="1" t="s">
        <v>50</v>
      </c>
      <c r="D26" s="2">
        <f>VLOOKUP(C26,Bölgeler!B:F,4,FALSE)</f>
        <v>2</v>
      </c>
      <c r="E26" s="2" t="str">
        <f>VLOOKUP(C26,Bölgeler!B:F,2,FALSE)</f>
        <v>hayır</v>
      </c>
      <c r="F26" s="2">
        <f>VLOOKUP(C26,Bölgeler!B:F,3,FALSE)</f>
        <v>98335</v>
      </c>
      <c r="G26" s="2">
        <v>2008</v>
      </c>
      <c r="H26" s="9" t="s">
        <v>541</v>
      </c>
      <c r="I26" s="2" t="s">
        <v>297</v>
      </c>
      <c r="J26" s="2">
        <v>5546</v>
      </c>
    </row>
    <row r="27" spans="1:10" x14ac:dyDescent="0.3">
      <c r="A27" s="1" t="s">
        <v>53</v>
      </c>
      <c r="B27" s="2" t="s">
        <v>6</v>
      </c>
      <c r="C27" s="1" t="s">
        <v>52</v>
      </c>
      <c r="D27" s="2">
        <f>VLOOKUP(C27,Bölgeler!B:F,4,FALSE)</f>
        <v>6</v>
      </c>
      <c r="E27" s="2" t="str">
        <f>VLOOKUP(C27,Bölgeler!B:F,2,FALSE)</f>
        <v>hayır</v>
      </c>
      <c r="F27" s="2">
        <f>VLOOKUP(C27,Bölgeler!B:F,3,FALSE)</f>
        <v>168068</v>
      </c>
      <c r="G27" s="2">
        <v>2007</v>
      </c>
      <c r="H27" s="9" t="s">
        <v>460</v>
      </c>
      <c r="I27" s="2" t="s">
        <v>297</v>
      </c>
      <c r="J27" s="2">
        <v>11194</v>
      </c>
    </row>
    <row r="28" spans="1:10" x14ac:dyDescent="0.3">
      <c r="A28" s="1" t="s">
        <v>98</v>
      </c>
      <c r="B28" s="2" t="s">
        <v>6</v>
      </c>
      <c r="C28" s="1" t="s">
        <v>97</v>
      </c>
      <c r="D28" s="2">
        <f>VLOOKUP(C28,Bölgeler!B:F,4,FALSE)</f>
        <v>2</v>
      </c>
      <c r="E28" s="2" t="str">
        <f>VLOOKUP(C28,Bölgeler!B:F,2,FALSE)</f>
        <v>evet</v>
      </c>
      <c r="F28" s="2">
        <f>VLOOKUP(C28,Bölgeler!B:F,3,FALSE)</f>
        <v>762021</v>
      </c>
      <c r="G28" s="2">
        <v>1957</v>
      </c>
      <c r="H28" s="9" t="s">
        <v>457</v>
      </c>
      <c r="I28" s="2" t="s">
        <v>297</v>
      </c>
      <c r="J28" s="2">
        <v>549461</v>
      </c>
    </row>
    <row r="29" spans="1:10" x14ac:dyDescent="0.3">
      <c r="A29" s="1" t="s">
        <v>33</v>
      </c>
      <c r="B29" s="2" t="s">
        <v>30</v>
      </c>
      <c r="C29" s="1" t="s">
        <v>292</v>
      </c>
      <c r="D29" s="2">
        <f>VLOOKUP(C29,Bölgeler!B:F,4,FALSE)</f>
        <v>5</v>
      </c>
      <c r="E29" s="2" t="str">
        <f>VLOOKUP(C29,Bölgeler!B:F,2,FALSE)</f>
        <v>evet</v>
      </c>
      <c r="F29" s="2">
        <f>VLOOKUP(C29,Bölgeler!B:F,3,FALSE)</f>
        <v>5346518</v>
      </c>
      <c r="G29" s="2">
        <v>1997</v>
      </c>
      <c r="H29" s="9" t="s">
        <v>541</v>
      </c>
      <c r="I29" s="2" t="s">
        <v>297</v>
      </c>
      <c r="J29" s="2">
        <v>9636</v>
      </c>
    </row>
    <row r="30" spans="1:10" x14ac:dyDescent="0.3">
      <c r="A30" s="1" t="s">
        <v>279</v>
      </c>
      <c r="B30" s="2" t="s">
        <v>30</v>
      </c>
      <c r="C30" s="1" t="s">
        <v>276</v>
      </c>
      <c r="D30" s="2">
        <f>VLOOKUP(C30,Bölgeler!B:F,4,FALSE)</f>
        <v>6</v>
      </c>
      <c r="E30" s="2" t="str">
        <f>VLOOKUP(C30,Bölgeler!B:F,2,FALSE)</f>
        <v>evet</v>
      </c>
      <c r="F30" s="2">
        <f>VLOOKUP(C30,Bölgeler!B:F,3,FALSE)</f>
        <v>779379</v>
      </c>
      <c r="G30" s="2">
        <v>2010</v>
      </c>
      <c r="H30" s="9" t="s">
        <v>541</v>
      </c>
      <c r="I30" s="2" t="s">
        <v>297</v>
      </c>
      <c r="J30" s="2">
        <v>5077</v>
      </c>
    </row>
    <row r="31" spans="1:10" x14ac:dyDescent="0.3">
      <c r="A31" s="1" t="s">
        <v>55</v>
      </c>
      <c r="B31" s="2" t="s">
        <v>6</v>
      </c>
      <c r="C31" s="1" t="s">
        <v>54</v>
      </c>
      <c r="D31" s="2">
        <f>VLOOKUP(C31,Bölgeler!B:F,4,FALSE)</f>
        <v>3</v>
      </c>
      <c r="E31" s="2" t="str">
        <f>VLOOKUP(C31,Bölgeler!B:F,2,FALSE)</f>
        <v>evet</v>
      </c>
      <c r="F31" s="2">
        <f>VLOOKUP(C31,Bölgeler!B:F,3,FALSE)</f>
        <v>1068260</v>
      </c>
      <c r="G31" s="2">
        <v>1992</v>
      </c>
      <c r="H31" s="9" t="s">
        <v>541</v>
      </c>
      <c r="I31" s="2" t="s">
        <v>297</v>
      </c>
      <c r="J31" s="2">
        <v>46198</v>
      </c>
    </row>
    <row r="32" spans="1:10" x14ac:dyDescent="0.3">
      <c r="A32" s="1" t="s">
        <v>138</v>
      </c>
      <c r="B32" s="2" t="s">
        <v>30</v>
      </c>
      <c r="C32" s="1" t="s">
        <v>122</v>
      </c>
      <c r="D32" s="2">
        <f>VLOOKUP(C32,Bölgeler!B:F,4,FALSE)</f>
        <v>7</v>
      </c>
      <c r="E32" s="2" t="str">
        <f>VLOOKUP(C32,Bölgeler!B:F,2,FALSE)</f>
        <v>evet</v>
      </c>
      <c r="F32" s="2">
        <f>VLOOKUP(C32,Bölgeler!B:F,3,FALSE)</f>
        <v>14804116</v>
      </c>
      <c r="G32" s="2">
        <v>1998</v>
      </c>
      <c r="H32" s="9" t="s">
        <v>541</v>
      </c>
      <c r="I32" s="2" t="s">
        <v>297</v>
      </c>
      <c r="J32" s="2">
        <v>27546</v>
      </c>
    </row>
    <row r="33" spans="1:10" x14ac:dyDescent="0.3">
      <c r="A33" s="1" t="s">
        <v>57</v>
      </c>
      <c r="B33" s="2" t="s">
        <v>6</v>
      </c>
      <c r="C33" s="1" t="s">
        <v>56</v>
      </c>
      <c r="D33" s="2">
        <f>VLOOKUP(C33,Bölgeler!B:F,4,FALSE)</f>
        <v>7</v>
      </c>
      <c r="E33" s="2" t="str">
        <f>VLOOKUP(C33,Bölgeler!B:F,2,FALSE)</f>
        <v>evet</v>
      </c>
      <c r="F33" s="2">
        <f>VLOOKUP(C33,Bölgeler!B:F,3,FALSE)</f>
        <v>1196176</v>
      </c>
      <c r="G33" s="2">
        <v>1992</v>
      </c>
      <c r="H33" s="9" t="s">
        <v>541</v>
      </c>
      <c r="I33" s="2" t="s">
        <v>297</v>
      </c>
      <c r="J33" s="2">
        <v>28535</v>
      </c>
    </row>
    <row r="34" spans="1:10" x14ac:dyDescent="0.3">
      <c r="A34" s="1" t="s">
        <v>58</v>
      </c>
      <c r="B34" s="2" t="s">
        <v>6</v>
      </c>
      <c r="C34" s="1" t="s">
        <v>56</v>
      </c>
      <c r="D34" s="2">
        <f>VLOOKUP(C34,Bölgeler!B:F,4,FALSE)</f>
        <v>7</v>
      </c>
      <c r="E34" s="2" t="str">
        <f>VLOOKUP(C34,Bölgeler!B:F,2,FALSE)</f>
        <v>evet</v>
      </c>
      <c r="F34" s="2">
        <f>VLOOKUP(C34,Bölgeler!B:F,3,FALSE)</f>
        <v>1196176</v>
      </c>
      <c r="G34" s="2">
        <v>2015</v>
      </c>
      <c r="H34" s="9" t="s">
        <v>541</v>
      </c>
      <c r="I34" s="2" t="s">
        <v>297</v>
      </c>
      <c r="J34" s="2">
        <v>17048</v>
      </c>
    </row>
    <row r="35" spans="1:10" x14ac:dyDescent="0.3">
      <c r="A35" s="1" t="s">
        <v>60</v>
      </c>
      <c r="B35" s="2" t="s">
        <v>6</v>
      </c>
      <c r="C35" s="1" t="s">
        <v>59</v>
      </c>
      <c r="D35" s="2">
        <f>VLOOKUP(C35,Bölgeler!B:F,4,FALSE)</f>
        <v>6</v>
      </c>
      <c r="E35" s="2" t="str">
        <f>VLOOKUP(C35,Bölgeler!B:F,2,FALSE)</f>
        <v>hayır</v>
      </c>
      <c r="F35" s="2">
        <f>VLOOKUP(C35,Bölgeler!B:F,3,FALSE)</f>
        <v>192389</v>
      </c>
      <c r="G35" s="2">
        <v>2008</v>
      </c>
      <c r="H35" s="9" t="s">
        <v>541</v>
      </c>
      <c r="I35" s="2" t="s">
        <v>297</v>
      </c>
      <c r="J35" s="2">
        <v>17446</v>
      </c>
    </row>
    <row r="36" spans="1:10" x14ac:dyDescent="0.3">
      <c r="A36" s="1" t="s">
        <v>34</v>
      </c>
      <c r="B36" s="2" t="s">
        <v>30</v>
      </c>
      <c r="C36" s="1" t="s">
        <v>292</v>
      </c>
      <c r="D36" s="2">
        <f>VLOOKUP(C36,Bölgeler!B:F,4,FALSE)</f>
        <v>5</v>
      </c>
      <c r="E36" s="2" t="str">
        <f>VLOOKUP(C36,Bölgeler!B:F,2,FALSE)</f>
        <v>evet</v>
      </c>
      <c r="F36" s="2">
        <f>VLOOKUP(C36,Bölgeler!B:F,3,FALSE)</f>
        <v>5346518</v>
      </c>
      <c r="G36" s="2">
        <v>1994</v>
      </c>
      <c r="H36" s="9" t="s">
        <v>457</v>
      </c>
      <c r="I36" s="2" t="s">
        <v>297</v>
      </c>
      <c r="J36" s="2">
        <v>17174</v>
      </c>
    </row>
    <row r="37" spans="1:10" x14ac:dyDescent="0.3">
      <c r="A37" s="1" t="s">
        <v>62</v>
      </c>
      <c r="B37" s="2" t="s">
        <v>6</v>
      </c>
      <c r="C37" s="1" t="s">
        <v>61</v>
      </c>
      <c r="D37" s="2">
        <f>VLOOKUP(C37,Bölgeler!B:F,4,FALSE)</f>
        <v>4</v>
      </c>
      <c r="E37" s="2" t="str">
        <f>VLOOKUP(C37,Bölgeler!B:F,2,FALSE)</f>
        <v>hayır</v>
      </c>
      <c r="F37" s="2">
        <f>VLOOKUP(C37,Bölgeler!B:F,3,FALSE)</f>
        <v>576899</v>
      </c>
      <c r="G37" s="2">
        <v>2007</v>
      </c>
      <c r="H37" s="9" t="s">
        <v>460</v>
      </c>
      <c r="I37" s="2" t="s">
        <v>297</v>
      </c>
      <c r="J37" s="2">
        <v>13483</v>
      </c>
    </row>
    <row r="38" spans="1:10" x14ac:dyDescent="0.3">
      <c r="A38" s="1" t="s">
        <v>64</v>
      </c>
      <c r="B38" s="2" t="s">
        <v>6</v>
      </c>
      <c r="C38" s="1" t="s">
        <v>63</v>
      </c>
      <c r="D38" s="2">
        <f>VLOOKUP(C38,Bölgeler!B:F,4,FALSE)</f>
        <v>6</v>
      </c>
      <c r="E38" s="2" t="str">
        <f>VLOOKUP(C38,Bölgeler!B:F,2,FALSE)</f>
        <v>hayır</v>
      </c>
      <c r="F38" s="2">
        <f>VLOOKUP(C38,Bölgeler!B:F,3,FALSE)</f>
        <v>90154</v>
      </c>
      <c r="G38" s="2">
        <v>2008</v>
      </c>
      <c r="H38" s="9" t="s">
        <v>460</v>
      </c>
      <c r="I38" s="2" t="s">
        <v>297</v>
      </c>
      <c r="J38" s="2">
        <v>13189</v>
      </c>
    </row>
    <row r="39" spans="1:10" x14ac:dyDescent="0.3">
      <c r="A39" s="1" t="s">
        <v>139</v>
      </c>
      <c r="B39" s="2" t="s">
        <v>30</v>
      </c>
      <c r="C39" s="1" t="s">
        <v>122</v>
      </c>
      <c r="D39" s="2">
        <f>VLOOKUP(C39,Bölgeler!B:F,4,FALSE)</f>
        <v>7</v>
      </c>
      <c r="E39" s="2" t="str">
        <f>VLOOKUP(C39,Bölgeler!B:F,2,FALSE)</f>
        <v>evet</v>
      </c>
      <c r="F39" s="2">
        <f>VLOOKUP(C39,Bölgeler!B:F,3,FALSE)</f>
        <v>14804116</v>
      </c>
      <c r="G39" s="2">
        <v>1997</v>
      </c>
      <c r="H39" s="9" t="s">
        <v>541</v>
      </c>
      <c r="I39" s="2" t="s">
        <v>297</v>
      </c>
      <c r="J39" s="2">
        <v>30684</v>
      </c>
    </row>
    <row r="40" spans="1:10" x14ac:dyDescent="0.3">
      <c r="A40" s="1" t="s">
        <v>153</v>
      </c>
      <c r="B40" s="2" t="s">
        <v>30</v>
      </c>
      <c r="C40" s="1" t="s">
        <v>122</v>
      </c>
      <c r="D40" s="2">
        <f>VLOOKUP(C40,Bölgeler!B:F,4,FALSE)</f>
        <v>7</v>
      </c>
      <c r="E40" s="2" t="str">
        <f>VLOOKUP(C40,Bölgeler!B:F,2,FALSE)</f>
        <v>evet</v>
      </c>
      <c r="F40" s="2">
        <f>VLOOKUP(C40,Bölgeler!B:F,3,FALSE)</f>
        <v>14804116</v>
      </c>
      <c r="G40" s="2">
        <v>2016</v>
      </c>
      <c r="H40" s="9" t="s">
        <v>541</v>
      </c>
      <c r="I40" s="2" t="s">
        <v>297</v>
      </c>
      <c r="J40" s="2">
        <v>5556</v>
      </c>
    </row>
    <row r="41" spans="1:10" x14ac:dyDescent="0.3">
      <c r="A41" s="1" t="s">
        <v>140</v>
      </c>
      <c r="B41" s="2" t="s">
        <v>30</v>
      </c>
      <c r="C41" s="1" t="s">
        <v>122</v>
      </c>
      <c r="D41" s="2">
        <f>VLOOKUP(C41,Bölgeler!B:F,4,FALSE)</f>
        <v>7</v>
      </c>
      <c r="E41" s="2" t="str">
        <f>VLOOKUP(C41,Bölgeler!B:F,2,FALSE)</f>
        <v>evet</v>
      </c>
      <c r="F41" s="2">
        <f>VLOOKUP(C41,Bölgeler!B:F,3,FALSE)</f>
        <v>14804116</v>
      </c>
      <c r="G41" s="2">
        <v>2010</v>
      </c>
      <c r="H41" s="9" t="s">
        <v>541</v>
      </c>
      <c r="I41" s="2" t="s">
        <v>297</v>
      </c>
      <c r="J41" s="2">
        <v>3129</v>
      </c>
    </row>
    <row r="42" spans="1:10" x14ac:dyDescent="0.3">
      <c r="A42" s="1" t="s">
        <v>66</v>
      </c>
      <c r="B42" s="2" t="s">
        <v>6</v>
      </c>
      <c r="C42" s="1" t="s">
        <v>65</v>
      </c>
      <c r="D42" s="2">
        <f>VLOOKUP(C42,Bölgeler!B:F,4,FALSE)</f>
        <v>7</v>
      </c>
      <c r="E42" s="2" t="str">
        <f>VLOOKUP(C42,Bölgeler!B:F,2,FALSE)</f>
        <v>hayır</v>
      </c>
      <c r="F42" s="2">
        <f>VLOOKUP(C42,Bölgeler!B:F,3,FALSE)</f>
        <v>218297</v>
      </c>
      <c r="G42" s="2">
        <v>2007</v>
      </c>
      <c r="H42" s="9" t="s">
        <v>541</v>
      </c>
      <c r="I42" s="2" t="s">
        <v>297</v>
      </c>
      <c r="J42" s="2">
        <v>16567</v>
      </c>
    </row>
    <row r="43" spans="1:10" x14ac:dyDescent="0.3">
      <c r="A43" s="1" t="s">
        <v>68</v>
      </c>
      <c r="B43" s="2" t="s">
        <v>6</v>
      </c>
      <c r="C43" s="1" t="s">
        <v>67</v>
      </c>
      <c r="D43" s="2">
        <f>VLOOKUP(C43,Bölgeler!B:F,4,FALSE)</f>
        <v>2</v>
      </c>
      <c r="E43" s="2" t="str">
        <f>VLOOKUP(C43,Bölgeler!B:F,2,FALSE)</f>
        <v>hayır</v>
      </c>
      <c r="F43" s="2">
        <f>VLOOKUP(C43,Bölgeler!B:F,3,FALSE)</f>
        <v>269560</v>
      </c>
      <c r="G43" s="2">
        <v>2007</v>
      </c>
      <c r="H43" s="9" t="s">
        <v>541</v>
      </c>
      <c r="I43" s="2" t="s">
        <v>297</v>
      </c>
      <c r="J43" s="2">
        <v>15113</v>
      </c>
    </row>
    <row r="44" spans="1:10" x14ac:dyDescent="0.3">
      <c r="A44" s="1" t="s">
        <v>141</v>
      </c>
      <c r="B44" s="2" t="s">
        <v>30</v>
      </c>
      <c r="C44" s="1" t="s">
        <v>122</v>
      </c>
      <c r="D44" s="2">
        <f>VLOOKUP(C44,Bölgeler!B:F,4,FALSE)</f>
        <v>7</v>
      </c>
      <c r="E44" s="2" t="str">
        <f>VLOOKUP(C44,Bölgeler!B:F,2,FALSE)</f>
        <v>evet</v>
      </c>
      <c r="F44" s="2">
        <f>VLOOKUP(C44,Bölgeler!B:F,3,FALSE)</f>
        <v>14804116</v>
      </c>
      <c r="G44" s="2">
        <v>2014</v>
      </c>
      <c r="H44" s="9" t="s">
        <v>541</v>
      </c>
      <c r="I44" s="2" t="s">
        <v>297</v>
      </c>
      <c r="J44" s="2">
        <v>11202</v>
      </c>
    </row>
    <row r="45" spans="1:10" x14ac:dyDescent="0.3">
      <c r="A45" s="1" t="s">
        <v>70</v>
      </c>
      <c r="B45" s="2" t="s">
        <v>6</v>
      </c>
      <c r="C45" s="1" t="s">
        <v>69</v>
      </c>
      <c r="D45" s="2">
        <f>VLOOKUP(C45,Bölgeler!B:F,4,FALSE)</f>
        <v>2</v>
      </c>
      <c r="E45" s="2" t="str">
        <f>VLOOKUP(C45,Bölgeler!B:F,2,FALSE)</f>
        <v>hayır</v>
      </c>
      <c r="F45" s="2">
        <f>VLOOKUP(C45,Bölgeler!B:F,3,FALSE)</f>
        <v>341225</v>
      </c>
      <c r="G45" s="2">
        <v>2007</v>
      </c>
      <c r="H45" s="9" t="s">
        <v>541</v>
      </c>
      <c r="I45" s="2" t="s">
        <v>297</v>
      </c>
      <c r="J45" s="2">
        <v>10183</v>
      </c>
    </row>
    <row r="46" spans="1:10" x14ac:dyDescent="0.3">
      <c r="A46" s="1" t="s">
        <v>123</v>
      </c>
      <c r="B46" s="2" t="s">
        <v>6</v>
      </c>
      <c r="C46" s="1" t="s">
        <v>122</v>
      </c>
      <c r="D46" s="2">
        <f>VLOOKUP(C46,Bölgeler!B:F,4,FALSE)</f>
        <v>7</v>
      </c>
      <c r="E46" s="2" t="str">
        <f>VLOOKUP(C46,Bölgeler!B:F,2,FALSE)</f>
        <v>evet</v>
      </c>
      <c r="F46" s="2">
        <f>VLOOKUP(C46,Bölgeler!B:F,3,FALSE)</f>
        <v>14804116</v>
      </c>
      <c r="G46" s="2">
        <v>1863</v>
      </c>
      <c r="H46" s="9" t="s">
        <v>459</v>
      </c>
      <c r="I46" s="2" t="s">
        <v>295</v>
      </c>
      <c r="J46" s="2">
        <v>15835</v>
      </c>
    </row>
    <row r="47" spans="1:10" x14ac:dyDescent="0.3">
      <c r="A47" s="1" t="s">
        <v>72</v>
      </c>
      <c r="B47" s="2" t="s">
        <v>6</v>
      </c>
      <c r="C47" s="1" t="s">
        <v>71</v>
      </c>
      <c r="D47" s="2">
        <f>VLOOKUP(C47,Bölgeler!B:F,4,FALSE)</f>
        <v>6</v>
      </c>
      <c r="E47" s="2" t="str">
        <f>VLOOKUP(C47,Bölgeler!B:F,2,FALSE)</f>
        <v>hayır</v>
      </c>
      <c r="F47" s="2">
        <f>VLOOKUP(C47,Bölgeler!B:F,3,FALSE)</f>
        <v>299896</v>
      </c>
      <c r="G47" s="2">
        <v>1992</v>
      </c>
      <c r="H47" s="9" t="s">
        <v>541</v>
      </c>
      <c r="I47" s="2" t="s">
        <v>296</v>
      </c>
      <c r="J47" s="2">
        <v>29304</v>
      </c>
    </row>
    <row r="48" spans="1:10" x14ac:dyDescent="0.3">
      <c r="A48" s="1" t="s">
        <v>74</v>
      </c>
      <c r="B48" s="2" t="s">
        <v>6</v>
      </c>
      <c r="C48" s="1" t="s">
        <v>73</v>
      </c>
      <c r="D48" s="2">
        <f>VLOOKUP(C48,Bölgeler!B:F,4,FALSE)</f>
        <v>1</v>
      </c>
      <c r="E48" s="2" t="str">
        <f>VLOOKUP(C48,Bölgeler!B:F,2,FALSE)</f>
        <v>hayır</v>
      </c>
      <c r="F48" s="2">
        <f>VLOOKUP(C48,Bölgeler!B:F,3,FALSE)</f>
        <v>261401</v>
      </c>
      <c r="G48" s="2">
        <v>2006</v>
      </c>
      <c r="H48" s="9" t="s">
        <v>541</v>
      </c>
      <c r="I48" s="2" t="s">
        <v>297</v>
      </c>
      <c r="J48" s="2">
        <v>31063</v>
      </c>
    </row>
    <row r="49" spans="1:10" x14ac:dyDescent="0.3">
      <c r="A49" s="1" t="s">
        <v>76</v>
      </c>
      <c r="B49" s="2" t="s">
        <v>6</v>
      </c>
      <c r="C49" s="1" t="s">
        <v>75</v>
      </c>
      <c r="D49" s="2">
        <f>VLOOKUP(C49,Bölgeler!B:F,4,FALSE)</f>
        <v>7</v>
      </c>
      <c r="E49" s="2" t="str">
        <f>VLOOKUP(C49,Bölgeler!B:F,2,FALSE)</f>
        <v>evet</v>
      </c>
      <c r="F49" s="2">
        <f>VLOOKUP(C49,Bölgeler!B:F,3,FALSE)</f>
        <v>2901396</v>
      </c>
      <c r="G49" s="2">
        <v>2010</v>
      </c>
      <c r="H49" s="9" t="s">
        <v>541</v>
      </c>
      <c r="I49" s="2" t="s">
        <v>297</v>
      </c>
      <c r="J49" s="2">
        <v>8761</v>
      </c>
    </row>
    <row r="50" spans="1:10" x14ac:dyDescent="0.3">
      <c r="A50" s="1" t="s">
        <v>77</v>
      </c>
      <c r="B50" s="2" t="s">
        <v>6</v>
      </c>
      <c r="C50" s="1" t="s">
        <v>75</v>
      </c>
      <c r="D50" s="2">
        <f>VLOOKUP(C50,Bölgeler!B:F,4,FALSE)</f>
        <v>7</v>
      </c>
      <c r="E50" s="2" t="str">
        <f>VLOOKUP(C50,Bölgeler!B:F,2,FALSE)</f>
        <v>evet</v>
      </c>
      <c r="F50" s="2">
        <f>VLOOKUP(C50,Bölgeler!B:F,3,FALSE)</f>
        <v>2901396</v>
      </c>
      <c r="G50" s="2">
        <v>1975</v>
      </c>
      <c r="H50" s="9" t="s">
        <v>457</v>
      </c>
      <c r="I50" s="2" t="s">
        <v>297</v>
      </c>
      <c r="J50" s="2">
        <v>67173</v>
      </c>
    </row>
    <row r="51" spans="1:10" x14ac:dyDescent="0.3">
      <c r="A51" s="1" t="s">
        <v>238</v>
      </c>
      <c r="B51" s="2" t="s">
        <v>30</v>
      </c>
      <c r="C51" s="1" t="s">
        <v>235</v>
      </c>
      <c r="D51" s="2">
        <f>VLOOKUP(C51,Bölgeler!B:F,4,FALSE)</f>
        <v>1</v>
      </c>
      <c r="E51" s="2" t="str">
        <f>VLOOKUP(C51,Bölgeler!B:F,2,FALSE)</f>
        <v>evet</v>
      </c>
      <c r="F51" s="2">
        <f>VLOOKUP(C51,Bölgeler!B:F,3,FALSE)</f>
        <v>1773852</v>
      </c>
      <c r="G51" s="2">
        <v>1997</v>
      </c>
      <c r="H51" s="9" t="s">
        <v>541</v>
      </c>
      <c r="I51" s="2" t="s">
        <v>297</v>
      </c>
      <c r="J51" s="2">
        <v>4504</v>
      </c>
    </row>
    <row r="52" spans="1:10" x14ac:dyDescent="0.3">
      <c r="A52" s="1" t="s">
        <v>80</v>
      </c>
      <c r="B52" s="2" t="s">
        <v>6</v>
      </c>
      <c r="C52" s="1" t="s">
        <v>79</v>
      </c>
      <c r="D52" s="2">
        <f>VLOOKUP(C52,Bölgeler!B:F,4,FALSE)</f>
        <v>7</v>
      </c>
      <c r="E52" s="2" t="str">
        <f>VLOOKUP(C52,Bölgeler!B:F,2,FALSE)</f>
        <v>hayır</v>
      </c>
      <c r="F52" s="2">
        <f>VLOOKUP(C52,Bölgeler!B:F,3,FALSE)</f>
        <v>519793</v>
      </c>
      <c r="G52" s="2">
        <v>1992</v>
      </c>
      <c r="H52" s="9" t="s">
        <v>541</v>
      </c>
      <c r="I52" s="2" t="s">
        <v>296</v>
      </c>
      <c r="J52" s="2">
        <v>45667</v>
      </c>
    </row>
    <row r="53" spans="1:10" x14ac:dyDescent="0.3">
      <c r="A53" s="1" t="s">
        <v>35</v>
      </c>
      <c r="B53" s="2" t="s">
        <v>30</v>
      </c>
      <c r="C53" s="1" t="s">
        <v>292</v>
      </c>
      <c r="D53" s="2">
        <f>VLOOKUP(C53,Bölgeler!B:F,4,FALSE)</f>
        <v>5</v>
      </c>
      <c r="E53" s="2" t="str">
        <f>VLOOKUP(C53,Bölgeler!B:F,2,FALSE)</f>
        <v>evet</v>
      </c>
      <c r="F53" s="2">
        <f>VLOOKUP(C53,Bölgeler!B:F,3,FALSE)</f>
        <v>5346518</v>
      </c>
      <c r="G53" s="2">
        <v>1997</v>
      </c>
      <c r="H53" s="9" t="s">
        <v>541</v>
      </c>
      <c r="I53" s="2" t="s">
        <v>297</v>
      </c>
      <c r="J53" s="2">
        <v>6559</v>
      </c>
    </row>
    <row r="54" spans="1:10" x14ac:dyDescent="0.3">
      <c r="A54" s="1" t="s">
        <v>82</v>
      </c>
      <c r="B54" s="2" t="s">
        <v>6</v>
      </c>
      <c r="C54" s="1" t="s">
        <v>81</v>
      </c>
      <c r="D54" s="2">
        <f>VLOOKUP(C54,Bölgeler!B:F,4,FALSE)</f>
        <v>5</v>
      </c>
      <c r="E54" s="2" t="str">
        <f>VLOOKUP(C54,Bölgeler!B:F,2,FALSE)</f>
        <v>hayır</v>
      </c>
      <c r="F54" s="2">
        <f>VLOOKUP(C54,Bölgeler!B:F,3,FALSE)</f>
        <v>183880</v>
      </c>
      <c r="G54" s="2">
        <v>2007</v>
      </c>
      <c r="H54" s="9" t="s">
        <v>541</v>
      </c>
      <c r="I54" s="2" t="s">
        <v>296</v>
      </c>
      <c r="J54" s="2">
        <v>18984</v>
      </c>
    </row>
    <row r="55" spans="1:10" x14ac:dyDescent="0.3">
      <c r="A55" s="1" t="s">
        <v>7</v>
      </c>
      <c r="B55" s="2" t="s">
        <v>6</v>
      </c>
      <c r="C55" s="1" t="s">
        <v>4</v>
      </c>
      <c r="D55" s="2">
        <f>VLOOKUP(C55,Bölgeler!B:F,4,FALSE)</f>
        <v>1</v>
      </c>
      <c r="E55" s="2" t="str">
        <f>VLOOKUP(C55,Bölgeler!B:F,2,FALSE)</f>
        <v>evet</v>
      </c>
      <c r="F55" s="2">
        <f>VLOOKUP(C55,Bölgeler!B:F,3,FALSE)</f>
        <v>2201670</v>
      </c>
      <c r="G55" s="2">
        <v>1973</v>
      </c>
      <c r="H55" s="9" t="s">
        <v>458</v>
      </c>
      <c r="I55" s="2" t="s">
        <v>296</v>
      </c>
      <c r="J55" s="2">
        <v>47173</v>
      </c>
    </row>
    <row r="56" spans="1:10" x14ac:dyDescent="0.3">
      <c r="A56" s="1" t="s">
        <v>156</v>
      </c>
      <c r="B56" s="2" t="s">
        <v>30</v>
      </c>
      <c r="C56" s="1" t="s">
        <v>122</v>
      </c>
      <c r="D56" s="2">
        <f>VLOOKUP(C56,Bölgeler!B:F,4,FALSE)</f>
        <v>7</v>
      </c>
      <c r="E56" s="2" t="str">
        <f>VLOOKUP(C56,Bölgeler!B:F,2,FALSE)</f>
        <v>evet</v>
      </c>
      <c r="F56" s="2">
        <f>VLOOKUP(C56,Bölgeler!B:F,3,FALSE)</f>
        <v>14804116</v>
      </c>
      <c r="G56" s="2">
        <v>2006</v>
      </c>
      <c r="H56" s="9" t="s">
        <v>541</v>
      </c>
      <c r="I56" s="2" t="s">
        <v>297</v>
      </c>
      <c r="J56" s="2">
        <v>2829</v>
      </c>
    </row>
    <row r="57" spans="1:10" x14ac:dyDescent="0.3">
      <c r="A57" s="1" t="s">
        <v>88</v>
      </c>
      <c r="B57" s="2" t="s">
        <v>6</v>
      </c>
      <c r="C57" s="1" t="s">
        <v>87</v>
      </c>
      <c r="D57" s="2">
        <f>VLOOKUP(C57,Bölgeler!B:F,4,FALSE)</f>
        <v>4</v>
      </c>
      <c r="E57" s="2" t="str">
        <f>VLOOKUP(C57,Bölgeler!B:F,2,FALSE)</f>
        <v>evet</v>
      </c>
      <c r="F57" s="2">
        <f>VLOOKUP(C57,Bölgeler!B:F,3,FALSE)</f>
        <v>1673119</v>
      </c>
      <c r="G57" s="2">
        <v>1973</v>
      </c>
      <c r="H57" s="9" t="s">
        <v>458</v>
      </c>
      <c r="I57" s="2" t="s">
        <v>297</v>
      </c>
      <c r="J57" s="2">
        <v>31284</v>
      </c>
    </row>
    <row r="58" spans="1:10" x14ac:dyDescent="0.3">
      <c r="A58" s="1" t="s">
        <v>142</v>
      </c>
      <c r="B58" s="2" t="s">
        <v>30</v>
      </c>
      <c r="C58" s="1" t="s">
        <v>122</v>
      </c>
      <c r="D58" s="2">
        <f>VLOOKUP(C58,Bölgeler!B:F,4,FALSE)</f>
        <v>7</v>
      </c>
      <c r="E58" s="2" t="str">
        <f>VLOOKUP(C58,Bölgeler!B:F,2,FALSE)</f>
        <v>evet</v>
      </c>
      <c r="F58" s="2">
        <f>VLOOKUP(C58,Bölgeler!B:F,3,FALSE)</f>
        <v>14804116</v>
      </c>
      <c r="G58" s="2">
        <v>1997</v>
      </c>
      <c r="H58" s="9" t="s">
        <v>541</v>
      </c>
      <c r="I58" s="2" t="s">
        <v>297</v>
      </c>
      <c r="J58" s="2">
        <v>12023</v>
      </c>
    </row>
    <row r="59" spans="1:10" x14ac:dyDescent="0.3">
      <c r="A59" s="1" t="s">
        <v>182</v>
      </c>
      <c r="B59" s="2" t="s">
        <v>6</v>
      </c>
      <c r="C59" s="1" t="s">
        <v>181</v>
      </c>
      <c r="D59" s="2">
        <f>VLOOKUP(C59,Bölgeler!B:F,4,FALSE)</f>
        <v>3</v>
      </c>
      <c r="E59" s="2" t="str">
        <f>VLOOKUP(C59,Bölgeler!B:F,2,FALSE)</f>
        <v>evet</v>
      </c>
      <c r="F59" s="2">
        <f>VLOOKUP(C59,Bölgeler!B:F,3,FALSE)</f>
        <v>4223545</v>
      </c>
      <c r="G59" s="2">
        <v>1982</v>
      </c>
      <c r="H59" s="9" t="s">
        <v>457</v>
      </c>
      <c r="I59" s="2" t="s">
        <v>297</v>
      </c>
      <c r="J59" s="2">
        <v>62764</v>
      </c>
    </row>
    <row r="60" spans="1:10" x14ac:dyDescent="0.3">
      <c r="A60" s="1" t="s">
        <v>90</v>
      </c>
      <c r="B60" s="2" t="s">
        <v>6</v>
      </c>
      <c r="C60" s="1" t="s">
        <v>89</v>
      </c>
      <c r="D60" s="2">
        <f>VLOOKUP(C60,Bölgeler!B:F,4,FALSE)</f>
        <v>6</v>
      </c>
      <c r="E60" s="2" t="str">
        <f>VLOOKUP(C60,Bölgeler!B:F,2,FALSE)</f>
        <v>hayır</v>
      </c>
      <c r="F60" s="2">
        <f>VLOOKUP(C60,Bölgeler!B:F,3,FALSE)</f>
        <v>370371</v>
      </c>
      <c r="G60" s="2">
        <v>2006</v>
      </c>
      <c r="H60" s="9" t="s">
        <v>541</v>
      </c>
      <c r="I60" s="2" t="s">
        <v>297</v>
      </c>
      <c r="J60" s="2">
        <v>28659</v>
      </c>
    </row>
    <row r="61" spans="1:10" x14ac:dyDescent="0.3">
      <c r="A61" s="1" t="s">
        <v>183</v>
      </c>
      <c r="B61" s="2" t="s">
        <v>6</v>
      </c>
      <c r="C61" s="1" t="s">
        <v>181</v>
      </c>
      <c r="D61" s="2">
        <f>VLOOKUP(C61,Bölgeler!B:F,4,FALSE)</f>
        <v>3</v>
      </c>
      <c r="E61" s="2" t="str">
        <f>VLOOKUP(C61,Bölgeler!B:F,2,FALSE)</f>
        <v>evet</v>
      </c>
      <c r="F61" s="2">
        <f>VLOOKUP(C61,Bölgeler!B:F,3,FALSE)</f>
        <v>4223545</v>
      </c>
      <c r="G61" s="2">
        <v>1955</v>
      </c>
      <c r="H61" s="9" t="s">
        <v>459</v>
      </c>
      <c r="I61" s="2" t="s">
        <v>296</v>
      </c>
      <c r="J61" s="2">
        <v>55659</v>
      </c>
    </row>
    <row r="62" spans="1:10" x14ac:dyDescent="0.3">
      <c r="A62" s="1" t="s">
        <v>204</v>
      </c>
      <c r="B62" s="2" t="s">
        <v>6</v>
      </c>
      <c r="C62" s="1" t="s">
        <v>202</v>
      </c>
      <c r="D62" s="2">
        <f>VLOOKUP(C62,Bölgeler!B:F,4,FALSE)</f>
        <v>5</v>
      </c>
      <c r="E62" s="2" t="str">
        <f>VLOOKUP(C62,Bölgeler!B:F,2,FALSE)</f>
        <v>evet</v>
      </c>
      <c r="F62" s="2">
        <f>VLOOKUP(C62,Bölgeler!B:F,3,FALSE)</f>
        <v>1358980</v>
      </c>
      <c r="G62" s="2">
        <v>1978</v>
      </c>
      <c r="H62" s="9" t="s">
        <v>457</v>
      </c>
      <c r="I62" s="2" t="s">
        <v>297</v>
      </c>
      <c r="J62" s="2">
        <v>49721</v>
      </c>
    </row>
    <row r="63" spans="1:10" x14ac:dyDescent="0.3">
      <c r="A63" s="1" t="s">
        <v>96</v>
      </c>
      <c r="B63" s="2" t="s">
        <v>6</v>
      </c>
      <c r="C63" s="1" t="s">
        <v>95</v>
      </c>
      <c r="D63" s="2">
        <f>VLOOKUP(C63,Bölgeler!B:F,4,FALSE)</f>
        <v>2</v>
      </c>
      <c r="E63" s="2" t="str">
        <f>VLOOKUP(C63,Bölgeler!B:F,2,FALSE)</f>
        <v>hayır</v>
      </c>
      <c r="F63" s="2">
        <f>VLOOKUP(C63,Bölgeler!B:F,3,FALSE)</f>
        <v>226032</v>
      </c>
      <c r="G63" s="2">
        <v>2006</v>
      </c>
      <c r="H63" s="9" t="s">
        <v>541</v>
      </c>
      <c r="I63" s="2" t="s">
        <v>297</v>
      </c>
      <c r="J63" s="2">
        <v>23618</v>
      </c>
    </row>
    <row r="64" spans="1:10" x14ac:dyDescent="0.3">
      <c r="A64" s="1" t="s">
        <v>99</v>
      </c>
      <c r="B64" s="2" t="s">
        <v>6</v>
      </c>
      <c r="C64" s="1" t="s">
        <v>97</v>
      </c>
      <c r="D64" s="2">
        <f>VLOOKUP(C64,Bölgeler!B:F,4,FALSE)</f>
        <v>2</v>
      </c>
      <c r="E64" s="2" t="str">
        <f>VLOOKUP(C64,Bölgeler!B:F,2,FALSE)</f>
        <v>evet</v>
      </c>
      <c r="F64" s="2">
        <f>VLOOKUP(C64,Bölgeler!B:F,3,FALSE)</f>
        <v>762021</v>
      </c>
      <c r="G64" s="2">
        <v>2010</v>
      </c>
      <c r="H64" s="9" t="s">
        <v>541</v>
      </c>
      <c r="I64" s="2" t="s">
        <v>297</v>
      </c>
      <c r="J64" s="2">
        <v>4264</v>
      </c>
    </row>
    <row r="65" spans="1:10" x14ac:dyDescent="0.3">
      <c r="A65" s="1" t="s">
        <v>102</v>
      </c>
      <c r="B65" s="2" t="s">
        <v>6</v>
      </c>
      <c r="C65" s="1" t="s">
        <v>100</v>
      </c>
      <c r="D65" s="2">
        <f>VLOOKUP(C65,Bölgeler!B:F,4,FALSE)</f>
        <v>5</v>
      </c>
      <c r="E65" s="2" t="str">
        <f>VLOOKUP(C65,Bölgeler!B:F,2,FALSE)</f>
        <v>evet</v>
      </c>
      <c r="F65" s="2">
        <f>VLOOKUP(C65,Bölgeler!B:F,3,FALSE)</f>
        <v>844842</v>
      </c>
      <c r="G65" s="2">
        <v>1993</v>
      </c>
      <c r="H65" s="9" t="s">
        <v>541</v>
      </c>
      <c r="I65" s="2" t="s">
        <v>297</v>
      </c>
      <c r="J65" s="2">
        <v>29347</v>
      </c>
    </row>
    <row r="66" spans="1:10" x14ac:dyDescent="0.3">
      <c r="A66" s="1" t="s">
        <v>103</v>
      </c>
      <c r="B66" s="2" t="s">
        <v>6</v>
      </c>
      <c r="C66" s="1" t="s">
        <v>100</v>
      </c>
      <c r="D66" s="2">
        <f>VLOOKUP(C66,Bölgeler!B:F,4,FALSE)</f>
        <v>5</v>
      </c>
      <c r="E66" s="2" t="str">
        <f>VLOOKUP(C66,Bölgeler!B:F,2,FALSE)</f>
        <v>evet</v>
      </c>
      <c r="F66" s="2">
        <f>VLOOKUP(C66,Bölgeler!B:F,3,FALSE)</f>
        <v>844842</v>
      </c>
      <c r="G66" s="2">
        <v>2018</v>
      </c>
      <c r="H66" s="9" t="s">
        <v>458</v>
      </c>
      <c r="I66" s="2" t="s">
        <v>297</v>
      </c>
      <c r="J66" s="2">
        <v>14206</v>
      </c>
    </row>
    <row r="67" spans="1:10" x14ac:dyDescent="0.3">
      <c r="A67" s="1" t="s">
        <v>143</v>
      </c>
      <c r="B67" s="2" t="s">
        <v>30</v>
      </c>
      <c r="C67" s="1" t="s">
        <v>122</v>
      </c>
      <c r="D67" s="2">
        <f>VLOOKUP(C67,Bölgeler!B:F,4,FALSE)</f>
        <v>7</v>
      </c>
      <c r="E67" s="2" t="str">
        <f>VLOOKUP(C67,Bölgeler!B:F,2,FALSE)</f>
        <v>evet</v>
      </c>
      <c r="F67" s="2">
        <f>VLOOKUP(C67,Bölgeler!B:F,3,FALSE)</f>
        <v>14804116</v>
      </c>
      <c r="G67" s="2">
        <v>2010</v>
      </c>
      <c r="H67" s="9" t="s">
        <v>541</v>
      </c>
      <c r="I67" s="2" t="s">
        <v>297</v>
      </c>
      <c r="J67" s="2">
        <v>7258</v>
      </c>
    </row>
    <row r="68" spans="1:10" x14ac:dyDescent="0.3">
      <c r="A68" s="1" t="s">
        <v>144</v>
      </c>
      <c r="B68" s="2" t="s">
        <v>30</v>
      </c>
      <c r="C68" s="1" t="s">
        <v>122</v>
      </c>
      <c r="D68" s="2">
        <f>VLOOKUP(C68,Bölgeler!B:F,4,FALSE)</f>
        <v>7</v>
      </c>
      <c r="E68" s="2" t="str">
        <f>VLOOKUP(C68,Bölgeler!B:F,2,FALSE)</f>
        <v>evet</v>
      </c>
      <c r="F68" s="2">
        <f>VLOOKUP(C68,Bölgeler!B:F,3,FALSE)</f>
        <v>14804116</v>
      </c>
      <c r="G68" s="2">
        <v>2016</v>
      </c>
      <c r="H68" s="9" t="s">
        <v>541</v>
      </c>
      <c r="I68" s="2" t="s">
        <v>297</v>
      </c>
      <c r="J68" s="2">
        <v>3517</v>
      </c>
    </row>
    <row r="69" spans="1:10" x14ac:dyDescent="0.3">
      <c r="A69" s="1" t="s">
        <v>94</v>
      </c>
      <c r="B69" s="2" t="s">
        <v>6</v>
      </c>
      <c r="C69" s="1" t="s">
        <v>93</v>
      </c>
      <c r="D69" s="2">
        <f>VLOOKUP(C69,Bölgeler!B:F,4,FALSE)</f>
        <v>2</v>
      </c>
      <c r="E69" s="2" t="str">
        <f>VLOOKUP(C69,Bölgeler!B:F,2,FALSE)</f>
        <v>hayır</v>
      </c>
      <c r="F69" s="2">
        <f>VLOOKUP(C69,Bölgeler!B:F,3,FALSE)</f>
        <v>578789</v>
      </c>
      <c r="G69" s="2">
        <v>1975</v>
      </c>
      <c r="H69" s="9" t="s">
        <v>458</v>
      </c>
      <c r="I69" s="2" t="s">
        <v>297</v>
      </c>
      <c r="J69" s="2">
        <v>37359</v>
      </c>
    </row>
    <row r="70" spans="1:10" x14ac:dyDescent="0.3">
      <c r="A70" s="1" t="s">
        <v>124</v>
      </c>
      <c r="B70" s="2" t="s">
        <v>6</v>
      </c>
      <c r="C70" s="1" t="s">
        <v>122</v>
      </c>
      <c r="D70" s="2">
        <f>VLOOKUP(C70,Bölgeler!B:F,4,FALSE)</f>
        <v>7</v>
      </c>
      <c r="E70" s="2" t="str">
        <f>VLOOKUP(C70,Bölgeler!B:F,2,FALSE)</f>
        <v>evet</v>
      </c>
      <c r="F70" s="2">
        <f>VLOOKUP(C70,Bölgeler!B:F,3,FALSE)</f>
        <v>14804116</v>
      </c>
      <c r="G70" s="2">
        <v>1481</v>
      </c>
      <c r="H70" s="9" t="s">
        <v>457</v>
      </c>
      <c r="I70" s="2" t="s">
        <v>297</v>
      </c>
      <c r="J70" s="2">
        <v>4317</v>
      </c>
    </row>
    <row r="71" spans="1:10" x14ac:dyDescent="0.3">
      <c r="A71" s="1" t="s">
        <v>24</v>
      </c>
      <c r="B71" s="2" t="s">
        <v>6</v>
      </c>
      <c r="C71" s="1" t="s">
        <v>292</v>
      </c>
      <c r="D71" s="2">
        <f>VLOOKUP(C71,Bölgeler!B:F,4,FALSE)</f>
        <v>5</v>
      </c>
      <c r="E71" s="2" t="str">
        <f>VLOOKUP(C71,Bölgeler!B:F,2,FALSE)</f>
        <v>evet</v>
      </c>
      <c r="F71" s="2">
        <f>VLOOKUP(C71,Bölgeler!B:F,3,FALSE)</f>
        <v>5346518</v>
      </c>
      <c r="G71" s="2">
        <v>1926</v>
      </c>
      <c r="H71" s="9" t="s">
        <v>457</v>
      </c>
      <c r="I71" s="2" t="s">
        <v>297</v>
      </c>
      <c r="J71" s="2">
        <v>39712</v>
      </c>
    </row>
    <row r="72" spans="1:10" x14ac:dyDescent="0.3">
      <c r="A72" s="1" t="s">
        <v>106</v>
      </c>
      <c r="B72" s="2" t="s">
        <v>6</v>
      </c>
      <c r="C72" s="1" t="s">
        <v>104</v>
      </c>
      <c r="D72" s="2">
        <f>VLOOKUP(C72,Bölgeler!B:F,4,FALSE)</f>
        <v>4</v>
      </c>
      <c r="E72" s="2" t="str">
        <f>VLOOKUP(C72,Bölgeler!B:F,2,FALSE)</f>
        <v>evet</v>
      </c>
      <c r="F72" s="2">
        <f>VLOOKUP(C72,Bölgeler!B:F,3,FALSE)</f>
        <v>1974244</v>
      </c>
      <c r="G72" s="2">
        <v>2018</v>
      </c>
      <c r="H72" s="9" t="s">
        <v>541</v>
      </c>
      <c r="I72" s="2" t="s">
        <v>297</v>
      </c>
      <c r="J72" s="2">
        <v>1760</v>
      </c>
    </row>
    <row r="73" spans="1:10" x14ac:dyDescent="0.3">
      <c r="A73" s="1" t="s">
        <v>105</v>
      </c>
      <c r="B73" s="2" t="s">
        <v>6</v>
      </c>
      <c r="C73" s="1" t="s">
        <v>104</v>
      </c>
      <c r="D73" s="2">
        <f>VLOOKUP(C73,Bölgeler!B:F,4,FALSE)</f>
        <v>4</v>
      </c>
      <c r="E73" s="2" t="str">
        <f>VLOOKUP(C73,Bölgeler!B:F,2,FALSE)</f>
        <v>evet</v>
      </c>
      <c r="F73" s="2">
        <f>VLOOKUP(C73,Bölgeler!B:F,3,FALSE)</f>
        <v>1974244</v>
      </c>
      <c r="G73" s="2">
        <v>1987</v>
      </c>
      <c r="H73" s="9" t="s">
        <v>460</v>
      </c>
      <c r="I73" s="2" t="s">
        <v>296</v>
      </c>
      <c r="J73" s="2">
        <v>42832</v>
      </c>
    </row>
    <row r="74" spans="1:10" x14ac:dyDescent="0.3">
      <c r="A74" s="1" t="s">
        <v>216</v>
      </c>
      <c r="B74" s="2" t="s">
        <v>6</v>
      </c>
      <c r="C74" s="1" t="s">
        <v>215</v>
      </c>
      <c r="D74" s="2">
        <f>VLOOKUP(C74,Bölgeler!B:F,4,FALSE)</f>
        <v>7</v>
      </c>
      <c r="E74" s="2" t="str">
        <f>VLOOKUP(C74,Bölgeler!B:F,2,FALSE)</f>
        <v>evet</v>
      </c>
      <c r="F74" s="2">
        <f>VLOOKUP(C74,Bölgeler!B:F,3,FALSE)</f>
        <v>1830772</v>
      </c>
      <c r="G74" s="2">
        <v>2014</v>
      </c>
      <c r="H74" s="9" t="s">
        <v>457</v>
      </c>
      <c r="I74" s="2" t="s">
        <v>297</v>
      </c>
      <c r="J74" s="2">
        <v>9015</v>
      </c>
    </row>
    <row r="75" spans="1:10" x14ac:dyDescent="0.3">
      <c r="A75" s="1" t="s">
        <v>110</v>
      </c>
      <c r="B75" s="2" t="s">
        <v>6</v>
      </c>
      <c r="C75" s="1" t="s">
        <v>109</v>
      </c>
      <c r="D75" s="2">
        <f>VLOOKUP(C75,Bölgeler!B:F,4,FALSE)</f>
        <v>6</v>
      </c>
      <c r="E75" s="2" t="str">
        <f>VLOOKUP(C75,Bölgeler!B:F,2,FALSE)</f>
        <v>hayır</v>
      </c>
      <c r="F75" s="2">
        <f>VLOOKUP(C75,Bölgeler!B:F,3,FALSE)</f>
        <v>444467</v>
      </c>
      <c r="G75" s="2">
        <v>2006</v>
      </c>
      <c r="H75" s="9" t="s">
        <v>458</v>
      </c>
      <c r="I75" s="2" t="s">
        <v>297</v>
      </c>
      <c r="J75" s="2">
        <v>24896</v>
      </c>
    </row>
    <row r="76" spans="1:10" x14ac:dyDescent="0.3">
      <c r="A76" s="1" t="s">
        <v>112</v>
      </c>
      <c r="B76" s="2" t="s">
        <v>6</v>
      </c>
      <c r="C76" s="1" t="s">
        <v>111</v>
      </c>
      <c r="D76" s="2">
        <f>VLOOKUP(C76,Bölgeler!B:F,4,FALSE)</f>
        <v>6</v>
      </c>
      <c r="E76" s="2" t="str">
        <f>VLOOKUP(C76,Bölgeler!B:F,2,FALSE)</f>
        <v>hayır</v>
      </c>
      <c r="F76" s="2">
        <f>VLOOKUP(C76,Bölgeler!B:F,3,FALSE)</f>
        <v>172034</v>
      </c>
      <c r="G76" s="2">
        <v>2008</v>
      </c>
      <c r="H76" s="9" t="s">
        <v>541</v>
      </c>
      <c r="I76" s="2" t="s">
        <v>297</v>
      </c>
      <c r="J76" s="2">
        <v>18184</v>
      </c>
    </row>
    <row r="77" spans="1:10" x14ac:dyDescent="0.3">
      <c r="A77" s="1" t="s">
        <v>25</v>
      </c>
      <c r="B77" s="2" t="s">
        <v>6</v>
      </c>
      <c r="C77" s="1" t="s">
        <v>292</v>
      </c>
      <c r="D77" s="2">
        <f>VLOOKUP(C77,Bölgeler!B:F,4,FALSE)</f>
        <v>5</v>
      </c>
      <c r="E77" s="2" t="str">
        <f>VLOOKUP(C77,Bölgeler!B:F,2,FALSE)</f>
        <v>evet</v>
      </c>
      <c r="F77" s="2">
        <f>VLOOKUP(C77,Bölgeler!B:F,3,FALSE)</f>
        <v>5346518</v>
      </c>
      <c r="G77" s="2">
        <v>1967</v>
      </c>
      <c r="H77" s="9" t="s">
        <v>459</v>
      </c>
      <c r="I77" s="2" t="s">
        <v>295</v>
      </c>
      <c r="J77" s="2">
        <v>53184</v>
      </c>
    </row>
    <row r="78" spans="1:10" x14ac:dyDescent="0.3">
      <c r="A78" s="1" t="s">
        <v>113</v>
      </c>
      <c r="B78" s="2" t="s">
        <v>6</v>
      </c>
      <c r="C78" s="1" t="s">
        <v>313</v>
      </c>
      <c r="D78" s="2">
        <f>VLOOKUP(C78,Bölgeler!B:F,4,FALSE)</f>
        <v>2</v>
      </c>
      <c r="E78" s="2" t="str">
        <f>VLOOKUP(C78,Bölgeler!B:F,2,FALSE)</f>
        <v>hayır</v>
      </c>
      <c r="F78" s="2">
        <f>VLOOKUP(C78,Bölgeler!B:F,3,FALSE)</f>
        <v>267813</v>
      </c>
      <c r="G78" s="2">
        <v>2008</v>
      </c>
      <c r="H78" s="9" t="s">
        <v>460</v>
      </c>
      <c r="I78" s="2" t="s">
        <v>297</v>
      </c>
      <c r="J78" s="2">
        <v>3230</v>
      </c>
    </row>
    <row r="79" spans="1:10" x14ac:dyDescent="0.3">
      <c r="A79" s="1" t="s">
        <v>145</v>
      </c>
      <c r="B79" s="2" t="s">
        <v>30</v>
      </c>
      <c r="C79" s="1" t="s">
        <v>122</v>
      </c>
      <c r="D79" s="2">
        <f>VLOOKUP(C79,Bölgeler!B:F,4,FALSE)</f>
        <v>7</v>
      </c>
      <c r="E79" s="2" t="str">
        <f>VLOOKUP(C79,Bölgeler!B:F,2,FALSE)</f>
        <v>evet</v>
      </c>
      <c r="F79" s="2">
        <f>VLOOKUP(C79,Bölgeler!B:F,3,FALSE)</f>
        <v>14804116</v>
      </c>
      <c r="G79" s="2">
        <v>1998</v>
      </c>
      <c r="H79" s="9" t="s">
        <v>541</v>
      </c>
      <c r="I79" s="2" t="s">
        <v>297</v>
      </c>
      <c r="J79" s="2">
        <v>14258</v>
      </c>
    </row>
    <row r="80" spans="1:10" x14ac:dyDescent="0.3">
      <c r="A80" s="1" t="s">
        <v>269</v>
      </c>
      <c r="B80" s="2" t="s">
        <v>6</v>
      </c>
      <c r="C80" s="1" t="s">
        <v>268</v>
      </c>
      <c r="D80" s="2">
        <f>VLOOKUP(C80,Bölgeler!B:F,4,FALSE)</f>
        <v>4</v>
      </c>
      <c r="E80" s="2" t="str">
        <f>VLOOKUP(C80,Bölgeler!B:F,2,FALSE)</f>
        <v>evet</v>
      </c>
      <c r="F80" s="2">
        <f>VLOOKUP(C80,Bölgeler!B:F,3,FALSE)</f>
        <v>1940627</v>
      </c>
      <c r="G80" s="2">
        <v>1992</v>
      </c>
      <c r="H80" s="9" t="s">
        <v>460</v>
      </c>
      <c r="I80" s="2" t="s">
        <v>297</v>
      </c>
      <c r="J80" s="2">
        <v>24692</v>
      </c>
    </row>
    <row r="81" spans="1:10" x14ac:dyDescent="0.3">
      <c r="A81" s="1" t="s">
        <v>107</v>
      </c>
      <c r="B81" s="2" t="s">
        <v>30</v>
      </c>
      <c r="C81" s="1" t="s">
        <v>104</v>
      </c>
      <c r="D81" s="2">
        <f>VLOOKUP(C81,Bölgeler!B:F,4,FALSE)</f>
        <v>4</v>
      </c>
      <c r="E81" s="2" t="str">
        <f>VLOOKUP(C81,Bölgeler!B:F,2,FALSE)</f>
        <v>evet</v>
      </c>
      <c r="F81" s="2">
        <f>VLOOKUP(C81,Bölgeler!B:F,3,FALSE)</f>
        <v>1974244</v>
      </c>
      <c r="G81" s="2">
        <v>2008</v>
      </c>
      <c r="H81" s="9" t="s">
        <v>541</v>
      </c>
      <c r="I81" s="2" t="s">
        <v>297</v>
      </c>
      <c r="J81" s="2">
        <v>7249</v>
      </c>
    </row>
    <row r="82" spans="1:10" x14ac:dyDescent="0.3">
      <c r="A82" s="1" t="s">
        <v>116</v>
      </c>
      <c r="B82" s="2" t="s">
        <v>6</v>
      </c>
      <c r="C82" s="1" t="s">
        <v>114</v>
      </c>
      <c r="D82" s="2">
        <f>VLOOKUP(C82,Bölgeler!B:F,4,FALSE)</f>
        <v>1</v>
      </c>
      <c r="E82" s="2" t="str">
        <f>VLOOKUP(C82,Bölgeler!B:F,2,FALSE)</f>
        <v>evet</v>
      </c>
      <c r="F82" s="2">
        <f>VLOOKUP(C82,Bölgeler!B:F,3,FALSE)</f>
        <v>1555165</v>
      </c>
      <c r="G82" s="2">
        <v>1992</v>
      </c>
      <c r="H82" s="9" t="s">
        <v>458</v>
      </c>
      <c r="I82" s="2" t="s">
        <v>297</v>
      </c>
      <c r="J82" s="2">
        <v>24990</v>
      </c>
    </row>
    <row r="83" spans="1:10" x14ac:dyDescent="0.3">
      <c r="A83" s="1" t="s">
        <v>84</v>
      </c>
      <c r="B83" s="2" t="s">
        <v>6</v>
      </c>
      <c r="C83" s="1" t="s">
        <v>83</v>
      </c>
      <c r="D83" s="2">
        <f>VLOOKUP(C83,Bölgeler!B:F,4,FALSE)</f>
        <v>6</v>
      </c>
      <c r="E83" s="2" t="str">
        <f>VLOOKUP(C83,Bölgeler!B:F,2,FALSE)</f>
        <v>hayır</v>
      </c>
      <c r="F83" s="2">
        <f>VLOOKUP(C83,Bölgeler!B:F,3,FALSE)</f>
        <v>527863</v>
      </c>
      <c r="G83" s="2">
        <v>2006</v>
      </c>
      <c r="H83" s="9" t="s">
        <v>541</v>
      </c>
      <c r="I83" s="2" t="s">
        <v>297</v>
      </c>
      <c r="J83" s="2">
        <v>16347</v>
      </c>
    </row>
    <row r="84" spans="1:10" x14ac:dyDescent="0.3">
      <c r="A84" s="1" t="s">
        <v>118</v>
      </c>
      <c r="B84" s="2" t="s">
        <v>6</v>
      </c>
      <c r="C84" s="1" t="s">
        <v>117</v>
      </c>
      <c r="D84" s="2">
        <f>VLOOKUP(C84,Bölgeler!B:F,4,FALSE)</f>
        <v>2</v>
      </c>
      <c r="E84" s="2" t="str">
        <f>VLOOKUP(C84,Bölgeler!B:F,2,FALSE)</f>
        <v>hayır</v>
      </c>
      <c r="F84" s="2">
        <f>VLOOKUP(C84,Bölgeler!B:F,3,FALSE)</f>
        <v>192785</v>
      </c>
      <c r="G84" s="2">
        <v>2008</v>
      </c>
      <c r="H84" s="9" t="s">
        <v>541</v>
      </c>
      <c r="I84" s="2" t="s">
        <v>297</v>
      </c>
      <c r="J84" s="2">
        <v>10921</v>
      </c>
    </row>
    <row r="85" spans="1:10" x14ac:dyDescent="0.3">
      <c r="A85" s="1" t="s">
        <v>121</v>
      </c>
      <c r="B85" s="2" t="s">
        <v>6</v>
      </c>
      <c r="C85" s="1" t="s">
        <v>119</v>
      </c>
      <c r="D85" s="2">
        <f>VLOOKUP(C85,Bölgeler!B:F,4,FALSE)</f>
        <v>1</v>
      </c>
      <c r="E85" s="2" t="str">
        <f>VLOOKUP(C85,Bölgeler!B:F,2,FALSE)</f>
        <v>hayır</v>
      </c>
      <c r="F85" s="2">
        <f>VLOOKUP(C85,Bölgeler!B:F,3,FALSE)</f>
        <v>427324</v>
      </c>
      <c r="G85" s="2">
        <v>2018</v>
      </c>
      <c r="H85" s="9" t="s">
        <v>541</v>
      </c>
      <c r="I85" s="2" t="s">
        <v>297</v>
      </c>
      <c r="J85" s="2">
        <v>23911</v>
      </c>
    </row>
    <row r="86" spans="1:10" x14ac:dyDescent="0.3">
      <c r="A86" s="1" t="s">
        <v>146</v>
      </c>
      <c r="B86" s="2" t="s">
        <v>30</v>
      </c>
      <c r="C86" s="1" t="s">
        <v>122</v>
      </c>
      <c r="D86" s="2">
        <f>VLOOKUP(C86,Bölgeler!B:F,4,FALSE)</f>
        <v>7</v>
      </c>
      <c r="E86" s="2" t="str">
        <f>VLOOKUP(C86,Bölgeler!B:F,2,FALSE)</f>
        <v>evet</v>
      </c>
      <c r="F86" s="2">
        <f>VLOOKUP(C86,Bölgeler!B:F,3,FALSE)</f>
        <v>14804116</v>
      </c>
      <c r="G86" s="2">
        <v>1996</v>
      </c>
      <c r="H86" s="9" t="s">
        <v>541</v>
      </c>
      <c r="I86" s="2" t="s">
        <v>297</v>
      </c>
      <c r="J86" s="2">
        <v>7100</v>
      </c>
    </row>
    <row r="87" spans="1:10" x14ac:dyDescent="0.3">
      <c r="A87" s="1" t="s">
        <v>147</v>
      </c>
      <c r="B87" s="2" t="s">
        <v>30</v>
      </c>
      <c r="C87" s="1" t="s">
        <v>122</v>
      </c>
      <c r="D87" s="2">
        <f>VLOOKUP(C87,Bölgeler!B:F,4,FALSE)</f>
        <v>7</v>
      </c>
      <c r="E87" s="2" t="str">
        <f>VLOOKUP(C87,Bölgeler!B:F,2,FALSE)</f>
        <v>evet</v>
      </c>
      <c r="F87" s="2">
        <f>VLOOKUP(C87,Bölgeler!B:F,3,FALSE)</f>
        <v>14804116</v>
      </c>
      <c r="G87" s="2">
        <v>2015</v>
      </c>
      <c r="H87" s="9" t="s">
        <v>541</v>
      </c>
      <c r="I87" s="2" t="s">
        <v>297</v>
      </c>
      <c r="J87" s="2">
        <v>1763</v>
      </c>
    </row>
    <row r="88" spans="1:10" x14ac:dyDescent="0.3">
      <c r="A88" s="1" t="s">
        <v>36</v>
      </c>
      <c r="B88" s="2" t="s">
        <v>30</v>
      </c>
      <c r="C88" s="1" t="s">
        <v>292</v>
      </c>
      <c r="D88" s="2">
        <f>VLOOKUP(C88,Bölgeler!B:F,4,FALSE)</f>
        <v>5</v>
      </c>
      <c r="E88" s="2" t="str">
        <f>VLOOKUP(C88,Bölgeler!B:F,2,FALSE)</f>
        <v>evet</v>
      </c>
      <c r="F88" s="2">
        <f>VLOOKUP(C88,Bölgeler!B:F,3,FALSE)</f>
        <v>5346518</v>
      </c>
      <c r="G88" s="2">
        <v>1984</v>
      </c>
      <c r="H88" s="9" t="s">
        <v>459</v>
      </c>
      <c r="I88" s="2" t="s">
        <v>297</v>
      </c>
      <c r="J88" s="2">
        <v>11821</v>
      </c>
    </row>
    <row r="89" spans="1:10" x14ac:dyDescent="0.3">
      <c r="A89" s="1" t="s">
        <v>229</v>
      </c>
      <c r="B89" s="2" t="s">
        <v>6</v>
      </c>
      <c r="C89" s="1" t="s">
        <v>228</v>
      </c>
      <c r="D89" s="2">
        <f>VLOOKUP(C89,Bölgeler!B:F,4,FALSE)</f>
        <v>2</v>
      </c>
      <c r="E89" s="2" t="str">
        <f>VLOOKUP(C89,Bölgeler!B:F,2,FALSE)</f>
        <v>evet</v>
      </c>
      <c r="F89" s="2">
        <f>VLOOKUP(C89,Bölgeler!B:F,3,FALSE)</f>
        <v>781305</v>
      </c>
      <c r="G89" s="2">
        <v>1975</v>
      </c>
      <c r="H89" s="9" t="s">
        <v>460</v>
      </c>
      <c r="I89" s="2" t="s">
        <v>297</v>
      </c>
      <c r="J89" s="2">
        <v>34183</v>
      </c>
    </row>
    <row r="90" spans="1:10" x14ac:dyDescent="0.3">
      <c r="A90" s="1" t="s">
        <v>115</v>
      </c>
      <c r="B90" s="2" t="s">
        <v>6</v>
      </c>
      <c r="C90" s="1" t="s">
        <v>114</v>
      </c>
      <c r="D90" s="2">
        <f>VLOOKUP(C90,Bölgeler!B:F,4,FALSE)</f>
        <v>1</v>
      </c>
      <c r="E90" s="2" t="str">
        <f>VLOOKUP(C90,Bölgeler!B:F,2,FALSE)</f>
        <v>evet</v>
      </c>
      <c r="F90" s="2">
        <f>VLOOKUP(C90,Bölgeler!B:F,3,FALSE)</f>
        <v>1555165</v>
      </c>
      <c r="G90" s="2">
        <v>2015</v>
      </c>
      <c r="H90" s="9" t="s">
        <v>541</v>
      </c>
      <c r="I90" s="2" t="s">
        <v>297</v>
      </c>
      <c r="J90" s="2">
        <v>12233</v>
      </c>
    </row>
    <row r="91" spans="1:10" x14ac:dyDescent="0.3">
      <c r="A91" s="1" t="s">
        <v>148</v>
      </c>
      <c r="B91" s="2" t="s">
        <v>30</v>
      </c>
      <c r="C91" s="1" t="s">
        <v>122</v>
      </c>
      <c r="D91" s="2">
        <f>VLOOKUP(C91,Bölgeler!B:F,4,FALSE)</f>
        <v>7</v>
      </c>
      <c r="E91" s="2" t="str">
        <f>VLOOKUP(C91,Bölgeler!B:F,2,FALSE)</f>
        <v>evet</v>
      </c>
      <c r="F91" s="2">
        <f>VLOOKUP(C91,Bölgeler!B:F,3,FALSE)</f>
        <v>14804116</v>
      </c>
      <c r="G91" s="2">
        <v>2010</v>
      </c>
      <c r="H91" s="9" t="s">
        <v>460</v>
      </c>
      <c r="I91" s="2" t="s">
        <v>297</v>
      </c>
      <c r="J91" s="2">
        <v>2699</v>
      </c>
    </row>
    <row r="92" spans="1:10" x14ac:dyDescent="0.3">
      <c r="A92" s="1" t="s">
        <v>150</v>
      </c>
      <c r="B92" s="2" t="s">
        <v>30</v>
      </c>
      <c r="C92" s="1" t="s">
        <v>122</v>
      </c>
      <c r="D92" s="2">
        <f>VLOOKUP(C92,Bölgeler!B:F,4,FALSE)</f>
        <v>7</v>
      </c>
      <c r="E92" s="2" t="str">
        <f>VLOOKUP(C92,Bölgeler!B:F,2,FALSE)</f>
        <v>evet</v>
      </c>
      <c r="F92" s="2">
        <f>VLOOKUP(C92,Bölgeler!B:F,3,FALSE)</f>
        <v>14804116</v>
      </c>
      <c r="G92" s="2">
        <v>2007</v>
      </c>
      <c r="H92" s="9" t="s">
        <v>541</v>
      </c>
      <c r="I92" s="2" t="s">
        <v>297</v>
      </c>
      <c r="J92" s="2">
        <v>12892</v>
      </c>
    </row>
    <row r="93" spans="1:10" x14ac:dyDescent="0.3">
      <c r="A93" s="1" t="s">
        <v>151</v>
      </c>
      <c r="B93" s="2" t="s">
        <v>30</v>
      </c>
      <c r="C93" s="1" t="s">
        <v>122</v>
      </c>
      <c r="D93" s="2">
        <f>VLOOKUP(C93,Bölgeler!B:F,4,FALSE)</f>
        <v>7</v>
      </c>
      <c r="E93" s="2" t="str">
        <f>VLOOKUP(C93,Bölgeler!B:F,2,FALSE)</f>
        <v>evet</v>
      </c>
      <c r="F93" s="2">
        <f>VLOOKUP(C93,Bölgeler!B:F,3,FALSE)</f>
        <v>14804116</v>
      </c>
      <c r="G93" s="2">
        <v>2018</v>
      </c>
      <c r="H93" s="9" t="s">
        <v>541</v>
      </c>
      <c r="I93" s="2" t="s">
        <v>297</v>
      </c>
      <c r="J93" s="2">
        <v>2416</v>
      </c>
    </row>
    <row r="94" spans="1:10" x14ac:dyDescent="0.3">
      <c r="A94" s="1" t="s">
        <v>152</v>
      </c>
      <c r="B94" s="2" t="s">
        <v>30</v>
      </c>
      <c r="C94" s="1" t="s">
        <v>122</v>
      </c>
      <c r="D94" s="2">
        <f>VLOOKUP(C94,Bölgeler!B:F,4,FALSE)</f>
        <v>7</v>
      </c>
      <c r="E94" s="2" t="str">
        <f>VLOOKUP(C94,Bölgeler!B:F,2,FALSE)</f>
        <v>evet</v>
      </c>
      <c r="F94" s="2">
        <f>VLOOKUP(C94,Bölgeler!B:F,3,FALSE)</f>
        <v>14804116</v>
      </c>
      <c r="G94" s="2">
        <v>2007</v>
      </c>
      <c r="H94" s="9" t="s">
        <v>457</v>
      </c>
      <c r="I94" s="2" t="s">
        <v>297</v>
      </c>
      <c r="J94" s="2">
        <v>38285</v>
      </c>
    </row>
    <row r="95" spans="1:10" x14ac:dyDescent="0.3">
      <c r="A95" s="1" t="s">
        <v>154</v>
      </c>
      <c r="B95" s="2" t="s">
        <v>30</v>
      </c>
      <c r="C95" s="1" t="s">
        <v>122</v>
      </c>
      <c r="D95" s="2">
        <f>VLOOKUP(C95,Bölgeler!B:F,4,FALSE)</f>
        <v>7</v>
      </c>
      <c r="E95" s="2" t="str">
        <f>VLOOKUP(C95,Bölgeler!B:F,2,FALSE)</f>
        <v>evet</v>
      </c>
      <c r="F95" s="2">
        <f>VLOOKUP(C95,Bölgeler!B:F,3,FALSE)</f>
        <v>14804116</v>
      </c>
      <c r="G95" s="2">
        <v>1996</v>
      </c>
      <c r="H95" s="9" t="s">
        <v>458</v>
      </c>
      <c r="I95" s="2" t="s">
        <v>297</v>
      </c>
      <c r="J95" s="2">
        <v>20670</v>
      </c>
    </row>
    <row r="96" spans="1:10" x14ac:dyDescent="0.3">
      <c r="A96" s="1" t="s">
        <v>158</v>
      </c>
      <c r="B96" s="2" t="s">
        <v>30</v>
      </c>
      <c r="C96" s="1" t="s">
        <v>122</v>
      </c>
      <c r="D96" s="2">
        <f>VLOOKUP(C96,Bölgeler!B:F,4,FALSE)</f>
        <v>7</v>
      </c>
      <c r="E96" s="2" t="str">
        <f>VLOOKUP(C96,Bölgeler!B:F,2,FALSE)</f>
        <v>evet</v>
      </c>
      <c r="F96" s="2">
        <f>VLOOKUP(C96,Bölgeler!B:F,3,FALSE)</f>
        <v>14804116</v>
      </c>
      <c r="G96" s="2">
        <v>2013</v>
      </c>
      <c r="H96" s="9" t="s">
        <v>541</v>
      </c>
      <c r="I96" s="2" t="s">
        <v>297</v>
      </c>
      <c r="J96" s="2">
        <v>5878</v>
      </c>
    </row>
    <row r="97" spans="1:10" x14ac:dyDescent="0.3">
      <c r="A97" s="1" t="s">
        <v>155</v>
      </c>
      <c r="B97" s="2" t="s">
        <v>30</v>
      </c>
      <c r="C97" s="1" t="s">
        <v>122</v>
      </c>
      <c r="D97" s="2">
        <f>VLOOKUP(C97,Bölgeler!B:F,4,FALSE)</f>
        <v>7</v>
      </c>
      <c r="E97" s="2" t="str">
        <f>VLOOKUP(C97,Bölgeler!B:F,2,FALSE)</f>
        <v>evet</v>
      </c>
      <c r="F97" s="2">
        <f>VLOOKUP(C97,Bölgeler!B:F,3,FALSE)</f>
        <v>14804116</v>
      </c>
      <c r="G97" s="2">
        <v>2019</v>
      </c>
      <c r="H97" s="9" t="s">
        <v>541</v>
      </c>
      <c r="I97" s="2" t="s">
        <v>297</v>
      </c>
      <c r="J97" s="2">
        <v>1617</v>
      </c>
    </row>
    <row r="98" spans="1:10" x14ac:dyDescent="0.3">
      <c r="A98" s="1" t="s">
        <v>159</v>
      </c>
      <c r="B98" s="2" t="s">
        <v>30</v>
      </c>
      <c r="C98" s="1" t="s">
        <v>122</v>
      </c>
      <c r="D98" s="2">
        <f>VLOOKUP(C98,Bölgeler!B:F,4,FALSE)</f>
        <v>7</v>
      </c>
      <c r="E98" s="2" t="str">
        <f>VLOOKUP(C98,Bölgeler!B:F,2,FALSE)</f>
        <v>evet</v>
      </c>
      <c r="F98" s="2">
        <f>VLOOKUP(C98,Bölgeler!B:F,3,FALSE)</f>
        <v>14804116</v>
      </c>
      <c r="G98" s="2">
        <v>2010</v>
      </c>
      <c r="H98" s="9" t="s">
        <v>541</v>
      </c>
      <c r="I98" s="2" t="s">
        <v>297</v>
      </c>
      <c r="J98" s="2">
        <v>6254</v>
      </c>
    </row>
    <row r="99" spans="1:10" x14ac:dyDescent="0.3">
      <c r="A99" s="1" t="s">
        <v>160</v>
      </c>
      <c r="B99" s="2" t="s">
        <v>30</v>
      </c>
      <c r="C99" s="1" t="s">
        <v>122</v>
      </c>
      <c r="D99" s="2">
        <f>VLOOKUP(C99,Bölgeler!B:F,4,FALSE)</f>
        <v>7</v>
      </c>
      <c r="E99" s="2" t="str">
        <f>VLOOKUP(C99,Bölgeler!B:F,2,FALSE)</f>
        <v>evet</v>
      </c>
      <c r="F99" s="2">
        <f>VLOOKUP(C99,Bölgeler!B:F,3,FALSE)</f>
        <v>14804116</v>
      </c>
      <c r="G99" s="2">
        <v>2011</v>
      </c>
      <c r="H99" s="9" t="s">
        <v>541</v>
      </c>
      <c r="I99" s="2" t="s">
        <v>297</v>
      </c>
      <c r="J99" s="2">
        <v>34360</v>
      </c>
    </row>
    <row r="100" spans="1:10" x14ac:dyDescent="0.3">
      <c r="A100" s="1" t="s">
        <v>161</v>
      </c>
      <c r="B100" s="2" t="s">
        <v>30</v>
      </c>
      <c r="C100" s="1" t="s">
        <v>122</v>
      </c>
      <c r="D100" s="2">
        <f>VLOOKUP(C100,Bölgeler!B:F,4,FALSE)</f>
        <v>7</v>
      </c>
      <c r="E100" s="2" t="str">
        <f>VLOOKUP(C100,Bölgeler!B:F,2,FALSE)</f>
        <v>evet</v>
      </c>
      <c r="F100" s="2">
        <f>VLOOKUP(C100,Bölgeler!B:F,3,FALSE)</f>
        <v>14804116</v>
      </c>
      <c r="G100" s="2">
        <v>2016</v>
      </c>
      <c r="H100" s="9" t="s">
        <v>541</v>
      </c>
      <c r="I100" s="2" t="s">
        <v>297</v>
      </c>
      <c r="J100" s="2">
        <v>4680</v>
      </c>
    </row>
    <row r="101" spans="1:10" x14ac:dyDescent="0.3">
      <c r="A101" s="1" t="s">
        <v>162</v>
      </c>
      <c r="B101" s="2" t="s">
        <v>30</v>
      </c>
      <c r="C101" s="1" t="s">
        <v>122</v>
      </c>
      <c r="D101" s="2">
        <f>VLOOKUP(C101,Bölgeler!B:F,4,FALSE)</f>
        <v>7</v>
      </c>
      <c r="E101" s="2" t="str">
        <f>VLOOKUP(C101,Bölgeler!B:F,2,FALSE)</f>
        <v>evet</v>
      </c>
      <c r="F101" s="2">
        <f>VLOOKUP(C101,Bölgeler!B:F,3,FALSE)</f>
        <v>14804116</v>
      </c>
      <c r="G101" s="2">
        <v>1997</v>
      </c>
      <c r="H101" s="9" t="s">
        <v>541</v>
      </c>
      <c r="I101" s="2" t="s">
        <v>297</v>
      </c>
      <c r="J101" s="2">
        <v>14957</v>
      </c>
    </row>
    <row r="102" spans="1:10" x14ac:dyDescent="0.3">
      <c r="A102" s="1" t="s">
        <v>125</v>
      </c>
      <c r="B102" s="2" t="s">
        <v>6</v>
      </c>
      <c r="C102" s="1" t="s">
        <v>122</v>
      </c>
      <c r="D102" s="2">
        <f>VLOOKUP(C102,Bölgeler!B:F,4,FALSE)</f>
        <v>7</v>
      </c>
      <c r="E102" s="2" t="str">
        <f>VLOOKUP(C102,Bölgeler!B:F,2,FALSE)</f>
        <v>evet</v>
      </c>
      <c r="F102" s="2">
        <f>VLOOKUP(C102,Bölgeler!B:F,3,FALSE)</f>
        <v>14804116</v>
      </c>
      <c r="G102" s="2">
        <v>2010</v>
      </c>
      <c r="H102" s="9" t="s">
        <v>457</v>
      </c>
      <c r="I102" s="2" t="s">
        <v>297</v>
      </c>
      <c r="J102" s="2">
        <v>13633</v>
      </c>
    </row>
    <row r="103" spans="1:10" x14ac:dyDescent="0.3">
      <c r="A103" s="1" t="s">
        <v>163</v>
      </c>
      <c r="B103" s="2" t="s">
        <v>30</v>
      </c>
      <c r="C103" s="1" t="s">
        <v>122</v>
      </c>
      <c r="D103" s="2">
        <f>VLOOKUP(C103,Bölgeler!B:F,4,FALSE)</f>
        <v>7</v>
      </c>
      <c r="E103" s="2" t="str">
        <f>VLOOKUP(C103,Bölgeler!B:F,2,FALSE)</f>
        <v>evet</v>
      </c>
      <c r="F103" s="2">
        <f>VLOOKUP(C103,Bölgeler!B:F,3,FALSE)</f>
        <v>14804116</v>
      </c>
      <c r="G103" s="2">
        <v>2009</v>
      </c>
      <c r="H103" s="9" t="s">
        <v>541</v>
      </c>
      <c r="I103" s="2" t="s">
        <v>297</v>
      </c>
      <c r="J103" s="2">
        <v>38865</v>
      </c>
    </row>
    <row r="104" spans="1:10" x14ac:dyDescent="0.3">
      <c r="A104" s="1" t="s">
        <v>164</v>
      </c>
      <c r="B104" s="2" t="s">
        <v>30</v>
      </c>
      <c r="C104" s="1" t="s">
        <v>122</v>
      </c>
      <c r="D104" s="2">
        <f>VLOOKUP(C104,Bölgeler!B:F,4,FALSE)</f>
        <v>7</v>
      </c>
      <c r="E104" s="2" t="str">
        <f>VLOOKUP(C104,Bölgeler!B:F,2,FALSE)</f>
        <v>evet</v>
      </c>
      <c r="F104" s="2">
        <f>VLOOKUP(C104,Bölgeler!B:F,3,FALSE)</f>
        <v>14804116</v>
      </c>
      <c r="G104" s="2">
        <v>1999</v>
      </c>
      <c r="H104" s="9" t="s">
        <v>541</v>
      </c>
      <c r="I104" s="2" t="s">
        <v>297</v>
      </c>
      <c r="J104" s="2">
        <v>16046</v>
      </c>
    </row>
    <row r="105" spans="1:10" x14ac:dyDescent="0.3">
      <c r="A105" s="1" t="s">
        <v>165</v>
      </c>
      <c r="B105" s="2" t="s">
        <v>30</v>
      </c>
      <c r="C105" s="1" t="s">
        <v>122</v>
      </c>
      <c r="D105" s="2">
        <f>VLOOKUP(C105,Bölgeler!B:F,4,FALSE)</f>
        <v>7</v>
      </c>
      <c r="E105" s="2" t="str">
        <f>VLOOKUP(C105,Bölgeler!B:F,2,FALSE)</f>
        <v>evet</v>
      </c>
      <c r="F105" s="2">
        <f>VLOOKUP(C105,Bölgeler!B:F,3,FALSE)</f>
        <v>14804116</v>
      </c>
      <c r="G105" s="2">
        <v>2015</v>
      </c>
      <c r="H105" s="9" t="s">
        <v>541</v>
      </c>
      <c r="I105" s="2" t="s">
        <v>297</v>
      </c>
      <c r="J105" s="2">
        <v>5479</v>
      </c>
    </row>
    <row r="106" spans="1:10" x14ac:dyDescent="0.3">
      <c r="A106" s="1" t="s">
        <v>166</v>
      </c>
      <c r="B106" s="2" t="s">
        <v>30</v>
      </c>
      <c r="C106" s="1" t="s">
        <v>122</v>
      </c>
      <c r="D106" s="2">
        <f>VLOOKUP(C106,Bölgeler!B:F,4,FALSE)</f>
        <v>7</v>
      </c>
      <c r="E106" s="2" t="str">
        <f>VLOOKUP(C106,Bölgeler!B:F,2,FALSE)</f>
        <v>evet</v>
      </c>
      <c r="F106" s="2">
        <f>VLOOKUP(C106,Bölgeler!B:F,3,FALSE)</f>
        <v>14804116</v>
      </c>
      <c r="G106" s="2">
        <v>2010</v>
      </c>
      <c r="H106" s="9" t="s">
        <v>541</v>
      </c>
      <c r="I106" s="2" t="s">
        <v>297</v>
      </c>
      <c r="J106" s="2">
        <v>10809</v>
      </c>
    </row>
    <row r="107" spans="1:10" x14ac:dyDescent="0.3">
      <c r="A107" s="1" t="s">
        <v>177</v>
      </c>
      <c r="B107" s="2" t="s">
        <v>30</v>
      </c>
      <c r="C107" s="1" t="s">
        <v>122</v>
      </c>
      <c r="D107" s="2">
        <f>VLOOKUP(C107,Bölgeler!B:F,4,FALSE)</f>
        <v>7</v>
      </c>
      <c r="E107" s="2" t="str">
        <f>VLOOKUP(C107,Bölgeler!B:F,2,FALSE)</f>
        <v>evet</v>
      </c>
      <c r="F107" s="2">
        <f>VLOOKUP(C107,Bölgeler!B:F,3,FALSE)</f>
        <v>14804116</v>
      </c>
      <c r="G107" s="2">
        <v>2018</v>
      </c>
      <c r="H107" s="9" t="s">
        <v>541</v>
      </c>
      <c r="I107" s="2" t="s">
        <v>297</v>
      </c>
      <c r="J107" s="2">
        <v>1518</v>
      </c>
    </row>
    <row r="108" spans="1:10" x14ac:dyDescent="0.3">
      <c r="A108" s="1" t="s">
        <v>126</v>
      </c>
      <c r="B108" s="2" t="s">
        <v>6</v>
      </c>
      <c r="C108" s="1" t="s">
        <v>122</v>
      </c>
      <c r="D108" s="2">
        <f>VLOOKUP(C108,Bölgeler!B:F,4,FALSE)</f>
        <v>7</v>
      </c>
      <c r="E108" s="2" t="str">
        <f>VLOOKUP(C108,Bölgeler!B:F,2,FALSE)</f>
        <v>evet</v>
      </c>
      <c r="F108" s="2">
        <f>VLOOKUP(C108,Bölgeler!B:F,3,FALSE)</f>
        <v>14804116</v>
      </c>
      <c r="G108" s="2">
        <v>1944</v>
      </c>
      <c r="H108" s="9" t="s">
        <v>459</v>
      </c>
      <c r="I108" s="2" t="s">
        <v>295</v>
      </c>
      <c r="J108" s="2">
        <v>37158</v>
      </c>
    </row>
    <row r="109" spans="1:10" x14ac:dyDescent="0.3">
      <c r="A109" s="1" t="s">
        <v>157</v>
      </c>
      <c r="B109" s="2" t="s">
        <v>30</v>
      </c>
      <c r="C109" s="1" t="s">
        <v>122</v>
      </c>
      <c r="D109" s="2">
        <f>VLOOKUP(C109,Bölgeler!B:F,4,FALSE)</f>
        <v>7</v>
      </c>
      <c r="E109" s="2" t="str">
        <f>VLOOKUP(C109,Bölgeler!B:F,2,FALSE)</f>
        <v>evet</v>
      </c>
      <c r="F109" s="2">
        <f>VLOOKUP(C109,Bölgeler!B:F,3,FALSE)</f>
        <v>14804116</v>
      </c>
      <c r="G109" s="2">
        <v>2001</v>
      </c>
      <c r="H109" s="9" t="s">
        <v>541</v>
      </c>
      <c r="I109" s="2" t="s">
        <v>297</v>
      </c>
      <c r="J109" s="2">
        <v>8958</v>
      </c>
    </row>
    <row r="110" spans="1:10" x14ac:dyDescent="0.3">
      <c r="A110" s="1" t="s">
        <v>167</v>
      </c>
      <c r="B110" s="2" t="s">
        <v>30</v>
      </c>
      <c r="C110" s="1" t="s">
        <v>122</v>
      </c>
      <c r="D110" s="2">
        <f>VLOOKUP(C110,Bölgeler!B:F,4,FALSE)</f>
        <v>7</v>
      </c>
      <c r="E110" s="2" t="str">
        <f>VLOOKUP(C110,Bölgeler!B:F,2,FALSE)</f>
        <v>evet</v>
      </c>
      <c r="F110" s="2">
        <f>VLOOKUP(C110,Bölgeler!B:F,3,FALSE)</f>
        <v>14804116</v>
      </c>
      <c r="G110" s="2">
        <v>2016</v>
      </c>
      <c r="H110" s="9" t="s">
        <v>541</v>
      </c>
      <c r="I110" s="2" t="s">
        <v>297</v>
      </c>
      <c r="J110" s="2">
        <v>10116</v>
      </c>
    </row>
    <row r="111" spans="1:10" x14ac:dyDescent="0.3">
      <c r="A111" s="1" t="s">
        <v>127</v>
      </c>
      <c r="B111" s="2" t="s">
        <v>6</v>
      </c>
      <c r="C111" s="1" t="s">
        <v>122</v>
      </c>
      <c r="D111" s="2">
        <f>VLOOKUP(C111,Bölgeler!B:F,4,FALSE)</f>
        <v>7</v>
      </c>
      <c r="E111" s="2" t="str">
        <f>VLOOKUP(C111,Bölgeler!B:F,2,FALSE)</f>
        <v>evet</v>
      </c>
      <c r="F111" s="2">
        <f>VLOOKUP(C111,Bölgeler!B:F,3,FALSE)</f>
        <v>14804116</v>
      </c>
      <c r="G111" s="2">
        <v>1900</v>
      </c>
      <c r="H111" s="9" t="s">
        <v>457</v>
      </c>
      <c r="I111" s="2" t="s">
        <v>295</v>
      </c>
      <c r="J111" s="2">
        <v>527088</v>
      </c>
    </row>
    <row r="112" spans="1:10" x14ac:dyDescent="0.3">
      <c r="A112" s="1" t="s">
        <v>128</v>
      </c>
      <c r="B112" s="2" t="s">
        <v>6</v>
      </c>
      <c r="C112" s="1" t="s">
        <v>122</v>
      </c>
      <c r="D112" s="2">
        <f>VLOOKUP(C112,Bölgeler!B:F,4,FALSE)</f>
        <v>7</v>
      </c>
      <c r="E112" s="2" t="str">
        <f>VLOOKUP(C112,Bölgeler!B:F,2,FALSE)</f>
        <v>evet</v>
      </c>
      <c r="F112" s="2">
        <f>VLOOKUP(C112,Bölgeler!B:F,3,FALSE)</f>
        <v>14804116</v>
      </c>
      <c r="G112" s="2">
        <v>1453</v>
      </c>
      <c r="H112" s="9" t="s">
        <v>541</v>
      </c>
      <c r="I112" s="2" t="s">
        <v>297</v>
      </c>
      <c r="J112" s="2">
        <v>31355</v>
      </c>
    </row>
    <row r="113" spans="1:10" x14ac:dyDescent="0.3">
      <c r="A113" s="1" t="s">
        <v>168</v>
      </c>
      <c r="B113" s="2" t="s">
        <v>30</v>
      </c>
      <c r="C113" s="1" t="s">
        <v>122</v>
      </c>
      <c r="D113" s="2">
        <f>VLOOKUP(C113,Bölgeler!B:F,4,FALSE)</f>
        <v>7</v>
      </c>
      <c r="E113" s="2" t="str">
        <f>VLOOKUP(C113,Bölgeler!B:F,2,FALSE)</f>
        <v>evet</v>
      </c>
      <c r="F113" s="2">
        <f>VLOOKUP(C113,Bölgeler!B:F,3,FALSE)</f>
        <v>14804116</v>
      </c>
      <c r="G113" s="2">
        <v>2015</v>
      </c>
      <c r="H113" s="9" t="s">
        <v>541</v>
      </c>
      <c r="I113" s="2" t="s">
        <v>297</v>
      </c>
      <c r="J113" s="2">
        <v>12238</v>
      </c>
    </row>
    <row r="114" spans="1:10" x14ac:dyDescent="0.3">
      <c r="A114" s="1" t="s">
        <v>186</v>
      </c>
      <c r="B114" s="2" t="s">
        <v>6</v>
      </c>
      <c r="C114" s="1" t="s">
        <v>181</v>
      </c>
      <c r="D114" s="2">
        <f>VLOOKUP(C114,Bölgeler!B:F,4,FALSE)</f>
        <v>3</v>
      </c>
      <c r="E114" s="2" t="str">
        <f>VLOOKUP(C114,Bölgeler!B:F,2,FALSE)</f>
        <v>evet</v>
      </c>
      <c r="F114" s="2">
        <f>VLOOKUP(C114,Bölgeler!B:F,3,FALSE)</f>
        <v>4223545</v>
      </c>
      <c r="G114" s="2">
        <v>2016</v>
      </c>
      <c r="H114" s="9" t="s">
        <v>541</v>
      </c>
      <c r="I114" s="2" t="s">
        <v>297</v>
      </c>
      <c r="J114" s="2">
        <v>5348</v>
      </c>
    </row>
    <row r="115" spans="1:10" x14ac:dyDescent="0.3">
      <c r="A115" s="1" t="s">
        <v>187</v>
      </c>
      <c r="B115" s="2" t="s">
        <v>6</v>
      </c>
      <c r="C115" s="1" t="s">
        <v>181</v>
      </c>
      <c r="D115" s="2">
        <f>VLOOKUP(C115,Bölgeler!B:F,4,FALSE)</f>
        <v>3</v>
      </c>
      <c r="E115" s="2" t="str">
        <f>VLOOKUP(C115,Bölgeler!B:F,2,FALSE)</f>
        <v>evet</v>
      </c>
      <c r="F115" s="2">
        <f>VLOOKUP(C115,Bölgeler!B:F,3,FALSE)</f>
        <v>4223545</v>
      </c>
      <c r="G115" s="2">
        <v>2016</v>
      </c>
      <c r="H115" s="9" t="s">
        <v>541</v>
      </c>
      <c r="I115" s="2" t="s">
        <v>297</v>
      </c>
      <c r="J115" s="2">
        <v>9425</v>
      </c>
    </row>
    <row r="116" spans="1:10" x14ac:dyDescent="0.3">
      <c r="A116" s="1" t="s">
        <v>188</v>
      </c>
      <c r="B116" s="2" t="s">
        <v>30</v>
      </c>
      <c r="C116" s="1" t="s">
        <v>181</v>
      </c>
      <c r="D116" s="2">
        <f>VLOOKUP(C116,Bölgeler!B:F,4,FALSE)</f>
        <v>3</v>
      </c>
      <c r="E116" s="2" t="str">
        <f>VLOOKUP(C116,Bölgeler!B:F,2,FALSE)</f>
        <v>evet</v>
      </c>
      <c r="F116" s="2">
        <f>VLOOKUP(C116,Bölgeler!B:F,3,FALSE)</f>
        <v>4223545</v>
      </c>
      <c r="G116" s="2">
        <v>2001</v>
      </c>
      <c r="H116" s="9" t="s">
        <v>541</v>
      </c>
      <c r="I116" s="2" t="s">
        <v>297</v>
      </c>
      <c r="J116" s="2">
        <v>10038</v>
      </c>
    </row>
    <row r="117" spans="1:10" x14ac:dyDescent="0.3">
      <c r="A117" s="1" t="s">
        <v>185</v>
      </c>
      <c r="B117" s="2" t="s">
        <v>6</v>
      </c>
      <c r="C117" s="1" t="s">
        <v>181</v>
      </c>
      <c r="D117" s="2">
        <f>VLOOKUP(C117,Bölgeler!B:F,4,FALSE)</f>
        <v>3</v>
      </c>
      <c r="E117" s="2" t="str">
        <f>VLOOKUP(C117,Bölgeler!B:F,2,FALSE)</f>
        <v>evet</v>
      </c>
      <c r="F117" s="2">
        <f>VLOOKUP(C117,Bölgeler!B:F,3,FALSE)</f>
        <v>4223545</v>
      </c>
      <c r="G117" s="2">
        <v>2010</v>
      </c>
      <c r="H117" s="9" t="s">
        <v>541</v>
      </c>
      <c r="I117" s="2" t="s">
        <v>297</v>
      </c>
      <c r="J117" s="2">
        <v>16393</v>
      </c>
    </row>
    <row r="118" spans="1:10" x14ac:dyDescent="0.3">
      <c r="A118" s="1" t="s">
        <v>189</v>
      </c>
      <c r="B118" s="2" t="s">
        <v>30</v>
      </c>
      <c r="C118" s="1" t="s">
        <v>181</v>
      </c>
      <c r="D118" s="2">
        <f>VLOOKUP(C118,Bölgeler!B:F,4,FALSE)</f>
        <v>3</v>
      </c>
      <c r="E118" s="2" t="str">
        <f>VLOOKUP(C118,Bölgeler!B:F,2,FALSE)</f>
        <v>evet</v>
      </c>
      <c r="F118" s="2">
        <f>VLOOKUP(C118,Bölgeler!B:F,3,FALSE)</f>
        <v>4223545</v>
      </c>
      <c r="G118" s="2">
        <v>2018</v>
      </c>
      <c r="H118" s="9" t="s">
        <v>541</v>
      </c>
      <c r="I118" s="2" t="s">
        <v>297</v>
      </c>
      <c r="J118" s="2">
        <v>1335</v>
      </c>
    </row>
    <row r="119" spans="1:10" x14ac:dyDescent="0.3">
      <c r="A119" s="1" t="s">
        <v>184</v>
      </c>
      <c r="B119" s="2" t="s">
        <v>6</v>
      </c>
      <c r="C119" s="1" t="s">
        <v>181</v>
      </c>
      <c r="D119" s="2">
        <f>VLOOKUP(C119,Bölgeler!B:F,4,FALSE)</f>
        <v>3</v>
      </c>
      <c r="E119" s="2" t="str">
        <f>VLOOKUP(C119,Bölgeler!B:F,2,FALSE)</f>
        <v>evet</v>
      </c>
      <c r="F119" s="2">
        <f>VLOOKUP(C119,Bölgeler!B:F,3,FALSE)</f>
        <v>4223545</v>
      </c>
      <c r="G119" s="2">
        <v>1992</v>
      </c>
      <c r="H119" s="9" t="s">
        <v>459</v>
      </c>
      <c r="I119" s="2" t="s">
        <v>295</v>
      </c>
      <c r="J119" s="2">
        <v>6618</v>
      </c>
    </row>
    <row r="120" spans="1:10" x14ac:dyDescent="0.3">
      <c r="A120" s="1" t="s">
        <v>19</v>
      </c>
      <c r="B120" s="2" t="s">
        <v>6</v>
      </c>
      <c r="C120" s="1" t="s">
        <v>292</v>
      </c>
      <c r="D120" s="2">
        <f>VLOOKUP(C120,Bölgeler!B:F,4,FALSE)</f>
        <v>5</v>
      </c>
      <c r="E120" s="2" t="str">
        <f>VLOOKUP(C120,Bölgeler!B:F,2,FALSE)</f>
        <v>evet</v>
      </c>
      <c r="F120" s="2">
        <f>VLOOKUP(C120,Bölgeler!B:F,3,FALSE)</f>
        <v>5346518</v>
      </c>
      <c r="G120" s="2">
        <v>1904</v>
      </c>
      <c r="H120" s="9" t="s">
        <v>541</v>
      </c>
      <c r="I120" s="2" t="s">
        <v>297</v>
      </c>
      <c r="J120" s="2" t="s">
        <v>298</v>
      </c>
    </row>
    <row r="121" spans="1:10" x14ac:dyDescent="0.3">
      <c r="A121" s="1" t="s">
        <v>169</v>
      </c>
      <c r="B121" s="2" t="s">
        <v>30</v>
      </c>
      <c r="C121" s="1" t="s">
        <v>122</v>
      </c>
      <c r="D121" s="2">
        <f>VLOOKUP(C121,Bölgeler!B:F,4,FALSE)</f>
        <v>7</v>
      </c>
      <c r="E121" s="2" t="str">
        <f>VLOOKUP(C121,Bölgeler!B:F,2,FALSE)</f>
        <v>evet</v>
      </c>
      <c r="F121" s="2">
        <f>VLOOKUP(C121,Bölgeler!B:F,3,FALSE)</f>
        <v>14804116</v>
      </c>
      <c r="G121" s="2">
        <v>1997</v>
      </c>
      <c r="H121" s="9" t="s">
        <v>458</v>
      </c>
      <c r="I121" s="2" t="s">
        <v>297</v>
      </c>
      <c r="J121" s="2">
        <v>5675</v>
      </c>
    </row>
    <row r="122" spans="1:10" x14ac:dyDescent="0.3">
      <c r="A122" s="1" t="s">
        <v>199</v>
      </c>
      <c r="B122" s="2" t="s">
        <v>6</v>
      </c>
      <c r="C122" s="1" t="s">
        <v>198</v>
      </c>
      <c r="D122" s="2">
        <f>VLOOKUP(C122,Bölgeler!B:F,4,FALSE)</f>
        <v>2</v>
      </c>
      <c r="E122" s="2" t="str">
        <f>VLOOKUP(C122,Bölgeler!B:F,2,FALSE)</f>
        <v>hayır</v>
      </c>
      <c r="F122" s="2">
        <f>VLOOKUP(C122,Bölgeler!B:F,3,FALSE)</f>
        <v>289786</v>
      </c>
      <c r="G122" s="2">
        <v>1992</v>
      </c>
      <c r="H122" s="9" t="s">
        <v>541</v>
      </c>
      <c r="I122" s="2" t="s">
        <v>297</v>
      </c>
      <c r="J122" s="2">
        <v>18389</v>
      </c>
    </row>
    <row r="123" spans="1:10" x14ac:dyDescent="0.3">
      <c r="A123" s="1" t="s">
        <v>193</v>
      </c>
      <c r="B123" s="2" t="s">
        <v>6</v>
      </c>
      <c r="C123" s="1" t="s">
        <v>191</v>
      </c>
      <c r="D123" s="2">
        <f>VLOOKUP(C123,Bölgeler!B:F,4,FALSE)</f>
        <v>1</v>
      </c>
      <c r="E123" s="2" t="str">
        <f>VLOOKUP(C123,Bölgeler!B:F,2,FALSE)</f>
        <v>evet</v>
      </c>
      <c r="F123" s="2">
        <f>VLOOKUP(C123,Bölgeler!B:F,3,FALSE)</f>
        <v>1112634</v>
      </c>
      <c r="G123" s="2">
        <v>2018</v>
      </c>
      <c r="H123" s="9" t="s">
        <v>541</v>
      </c>
      <c r="I123" s="2" t="s">
        <v>297</v>
      </c>
      <c r="J123" s="2">
        <v>1446</v>
      </c>
    </row>
    <row r="124" spans="1:10" x14ac:dyDescent="0.3">
      <c r="A124" s="1" t="s">
        <v>192</v>
      </c>
      <c r="B124" s="2" t="s">
        <v>6</v>
      </c>
      <c r="C124" s="1" t="s">
        <v>191</v>
      </c>
      <c r="D124" s="2">
        <f>VLOOKUP(C124,Bölgeler!B:F,4,FALSE)</f>
        <v>1</v>
      </c>
      <c r="E124" s="2" t="str">
        <f>VLOOKUP(C124,Bölgeler!B:F,2,FALSE)</f>
        <v>evet</v>
      </c>
      <c r="F124" s="2">
        <f>VLOOKUP(C124,Bölgeler!B:F,3,FALSE)</f>
        <v>1112634</v>
      </c>
      <c r="G124" s="2">
        <v>1992</v>
      </c>
      <c r="H124" s="9" t="s">
        <v>541</v>
      </c>
      <c r="I124" s="2" t="s">
        <v>297</v>
      </c>
      <c r="J124" s="2">
        <v>32701</v>
      </c>
    </row>
    <row r="125" spans="1:10" x14ac:dyDescent="0.3">
      <c r="A125" s="1" t="s">
        <v>246</v>
      </c>
      <c r="B125" s="2" t="s">
        <v>30</v>
      </c>
      <c r="C125" s="1" t="s">
        <v>244</v>
      </c>
      <c r="D125" s="2">
        <f>VLOOKUP(C125,Bölgeler!B:F,4,FALSE)</f>
        <v>5</v>
      </c>
      <c r="E125" s="2" t="str">
        <f>VLOOKUP(C125,Bölgeler!B:F,2,FALSE)</f>
        <v>hayır</v>
      </c>
      <c r="F125" s="2">
        <f>VLOOKUP(C125,Bölgeler!B:F,3,FALSE)</f>
        <v>290895</v>
      </c>
      <c r="G125" s="2">
        <v>2017</v>
      </c>
      <c r="H125" s="9" t="s">
        <v>541</v>
      </c>
      <c r="I125" s="2" t="s">
        <v>297</v>
      </c>
      <c r="J125" s="2">
        <v>7541</v>
      </c>
    </row>
    <row r="126" spans="1:10" x14ac:dyDescent="0.3">
      <c r="A126" s="1" t="s">
        <v>195</v>
      </c>
      <c r="B126" s="2" t="s">
        <v>6</v>
      </c>
      <c r="C126" s="1" t="s">
        <v>194</v>
      </c>
      <c r="D126" s="2">
        <f>VLOOKUP(C126,Bölgeler!B:F,4,FALSE)</f>
        <v>6</v>
      </c>
      <c r="E126" s="2" t="str">
        <f>VLOOKUP(C126,Bölgeler!B:F,2,FALSE)</f>
        <v>hayır</v>
      </c>
      <c r="F126" s="2">
        <f>VLOOKUP(C126,Bölgeler!B:F,3,FALSE)</f>
        <v>242347</v>
      </c>
      <c r="G126" s="2">
        <v>2007</v>
      </c>
      <c r="H126" s="9" t="s">
        <v>541</v>
      </c>
      <c r="I126" s="2" t="s">
        <v>297</v>
      </c>
      <c r="J126" s="2">
        <v>45339</v>
      </c>
    </row>
    <row r="127" spans="1:10" x14ac:dyDescent="0.3">
      <c r="A127" s="1" t="s">
        <v>277</v>
      </c>
      <c r="B127" s="2" t="s">
        <v>6</v>
      </c>
      <c r="C127" s="1" t="s">
        <v>276</v>
      </c>
      <c r="D127" s="2">
        <f>VLOOKUP(C127,Bölgeler!B:F,4,FALSE)</f>
        <v>6</v>
      </c>
      <c r="E127" s="2" t="str">
        <f>VLOOKUP(C127,Bölgeler!B:F,2,FALSE)</f>
        <v>evet</v>
      </c>
      <c r="F127" s="2">
        <f>VLOOKUP(C127,Bölgeler!B:F,3,FALSE)</f>
        <v>779379</v>
      </c>
      <c r="G127" s="2">
        <v>1955</v>
      </c>
      <c r="H127" s="9" t="s">
        <v>457</v>
      </c>
      <c r="I127" s="2" t="s">
        <v>297</v>
      </c>
      <c r="J127" s="2">
        <v>28784</v>
      </c>
    </row>
    <row r="128" spans="1:10" x14ac:dyDescent="0.3">
      <c r="A128" s="1" t="s">
        <v>197</v>
      </c>
      <c r="B128" s="2" t="s">
        <v>6</v>
      </c>
      <c r="C128" s="1" t="s">
        <v>196</v>
      </c>
      <c r="D128" s="2">
        <f>VLOOKUP(C128,Bölgeler!B:F,4,FALSE)</f>
        <v>5</v>
      </c>
      <c r="E128" s="2" t="str">
        <f>VLOOKUP(C128,Bölgeler!B:F,2,FALSE)</f>
        <v>hayır</v>
      </c>
      <c r="F128" s="2">
        <f>VLOOKUP(C128,Bölgeler!B:F,3,FALSE)</f>
        <v>245610</v>
      </c>
      <c r="G128" s="2">
        <v>2007</v>
      </c>
      <c r="H128" s="9" t="s">
        <v>541</v>
      </c>
      <c r="I128" s="2" t="s">
        <v>297</v>
      </c>
      <c r="J128" s="2">
        <v>18191</v>
      </c>
    </row>
    <row r="129" spans="1:10" x14ac:dyDescent="0.3">
      <c r="A129" s="1" t="s">
        <v>201</v>
      </c>
      <c r="B129" s="2" t="s">
        <v>6</v>
      </c>
      <c r="C129" s="1" t="s">
        <v>200</v>
      </c>
      <c r="D129" s="2">
        <f>VLOOKUP(C129,Bölgeler!B:F,4,FALSE)</f>
        <v>6</v>
      </c>
      <c r="E129" s="2" t="str">
        <f>VLOOKUP(C129,Bölgeler!B:F,2,FALSE)</f>
        <v>hayır</v>
      </c>
      <c r="F129" s="2">
        <f>VLOOKUP(C129,Bölgeler!B:F,3,FALSE)</f>
        <v>376945</v>
      </c>
      <c r="G129" s="2">
        <v>2006</v>
      </c>
      <c r="H129" s="9" t="s">
        <v>541</v>
      </c>
      <c r="I129" s="2" t="s">
        <v>297</v>
      </c>
      <c r="J129" s="2">
        <v>25976</v>
      </c>
    </row>
    <row r="130" spans="1:10" x14ac:dyDescent="0.3">
      <c r="A130" s="1" t="s">
        <v>205</v>
      </c>
      <c r="B130" s="2" t="s">
        <v>6</v>
      </c>
      <c r="C130" s="1" t="s">
        <v>202</v>
      </c>
      <c r="D130" s="2">
        <f>VLOOKUP(C130,Bölgeler!B:F,4,FALSE)</f>
        <v>5</v>
      </c>
      <c r="E130" s="2" t="str">
        <f>VLOOKUP(C130,Bölgeler!B:F,2,FALSE)</f>
        <v>evet</v>
      </c>
      <c r="F130" s="2">
        <f>VLOOKUP(C130,Bölgeler!B:F,3,FALSE)</f>
        <v>1358980</v>
      </c>
      <c r="G130" s="2">
        <v>2018</v>
      </c>
      <c r="H130" s="9" t="s">
        <v>541</v>
      </c>
      <c r="I130" s="2" t="s">
        <v>297</v>
      </c>
      <c r="J130" s="2">
        <v>11882</v>
      </c>
    </row>
    <row r="131" spans="1:10" x14ac:dyDescent="0.3">
      <c r="A131" s="1" t="s">
        <v>208</v>
      </c>
      <c r="B131" s="2" t="s">
        <v>6</v>
      </c>
      <c r="C131" s="1" t="s">
        <v>207</v>
      </c>
      <c r="D131" s="2">
        <f>VLOOKUP(C131,Bölgeler!B:F,4,FALSE)</f>
        <v>5</v>
      </c>
      <c r="E131" s="2" t="str">
        <f>VLOOKUP(C131,Bölgeler!B:F,2,FALSE)</f>
        <v>hayır</v>
      </c>
      <c r="F131" s="2">
        <f>VLOOKUP(C131,Bölgeler!B:F,3,FALSE)</f>
        <v>277984</v>
      </c>
      <c r="G131" s="2">
        <v>1992</v>
      </c>
      <c r="H131" s="9" t="s">
        <v>458</v>
      </c>
      <c r="I131" s="2" t="s">
        <v>297</v>
      </c>
      <c r="J131" s="2">
        <v>32225</v>
      </c>
    </row>
    <row r="132" spans="1:10" x14ac:dyDescent="0.3">
      <c r="A132" s="1" t="s">
        <v>210</v>
      </c>
      <c r="B132" s="2" t="s">
        <v>6</v>
      </c>
      <c r="C132" s="1" t="s">
        <v>209</v>
      </c>
      <c r="D132" s="2">
        <f>VLOOKUP(C132,Bölgeler!B:F,4,FALSE)</f>
        <v>7</v>
      </c>
      <c r="E132" s="2" t="str">
        <f>VLOOKUP(C132,Bölgeler!B:F,2,FALSE)</f>
        <v>hayır</v>
      </c>
      <c r="F132" s="2">
        <f>VLOOKUP(C132,Bölgeler!B:F,3,FALSE)</f>
        <v>351684</v>
      </c>
      <c r="G132" s="2">
        <v>2007</v>
      </c>
      <c r="H132" s="9" t="s">
        <v>541</v>
      </c>
      <c r="I132" s="2" t="s">
        <v>297</v>
      </c>
      <c r="J132" s="2">
        <v>22067</v>
      </c>
    </row>
    <row r="133" spans="1:10" x14ac:dyDescent="0.3">
      <c r="A133" s="1" t="s">
        <v>212</v>
      </c>
      <c r="B133" s="2" t="s">
        <v>6</v>
      </c>
      <c r="C133" s="1" t="s">
        <v>211</v>
      </c>
      <c r="D133" s="2">
        <f>VLOOKUP(C133,Bölgeler!B:F,4,FALSE)</f>
        <v>5</v>
      </c>
      <c r="E133" s="2" t="str">
        <f>VLOOKUP(C133,Bölgeler!B:F,2,FALSE)</f>
        <v>hayır</v>
      </c>
      <c r="F133" s="2">
        <f>VLOOKUP(C133,Bölgeler!B:F,3,FALSE)</f>
        <v>229975</v>
      </c>
      <c r="G133" s="2">
        <v>2006</v>
      </c>
      <c r="H133" s="9" t="s">
        <v>541</v>
      </c>
      <c r="I133" s="2" t="s">
        <v>297</v>
      </c>
      <c r="J133" s="2">
        <v>18708</v>
      </c>
    </row>
    <row r="134" spans="1:10" x14ac:dyDescent="0.3">
      <c r="A134" s="1" t="s">
        <v>214</v>
      </c>
      <c r="B134" s="2" t="s">
        <v>6</v>
      </c>
      <c r="C134" s="1" t="s">
        <v>213</v>
      </c>
      <c r="D134" s="2">
        <f>VLOOKUP(C134,Bölgeler!B:F,4,FALSE)</f>
        <v>4</v>
      </c>
      <c r="E134" s="2" t="str">
        <f>VLOOKUP(C134,Bölgeler!B:F,2,FALSE)</f>
        <v>hayır</v>
      </c>
      <c r="F134" s="2">
        <f>VLOOKUP(C134,Bölgeler!B:F,3,FALSE)</f>
        <v>130825</v>
      </c>
      <c r="G134" s="2">
        <v>2007</v>
      </c>
      <c r="H134" s="9" t="s">
        <v>541</v>
      </c>
      <c r="I134" s="2" t="s">
        <v>297</v>
      </c>
      <c r="J134" s="2">
        <v>9572</v>
      </c>
    </row>
    <row r="135" spans="1:10" x14ac:dyDescent="0.3">
      <c r="A135" s="1" t="s">
        <v>218</v>
      </c>
      <c r="B135" s="2" t="s">
        <v>30</v>
      </c>
      <c r="C135" s="1" t="s">
        <v>215</v>
      </c>
      <c r="D135" s="2">
        <f>VLOOKUP(C135,Bölgeler!B:F,4,FALSE)</f>
        <v>7</v>
      </c>
      <c r="E135" s="2" t="str">
        <f>VLOOKUP(C135,Bölgeler!B:F,2,FALSE)</f>
        <v>evet</v>
      </c>
      <c r="F135" s="2">
        <f>VLOOKUP(C135,Bölgeler!B:F,3,FALSE)</f>
        <v>1830772</v>
      </c>
      <c r="G135" s="2">
        <v>2020</v>
      </c>
      <c r="H135" s="9" t="s">
        <v>541</v>
      </c>
      <c r="I135" s="2" t="s">
        <v>297</v>
      </c>
      <c r="J135" s="2">
        <v>3496</v>
      </c>
    </row>
    <row r="136" spans="1:10" x14ac:dyDescent="0.3">
      <c r="A136" s="1" t="s">
        <v>217</v>
      </c>
      <c r="B136" s="2" t="s">
        <v>6</v>
      </c>
      <c r="C136" s="1" t="s">
        <v>215</v>
      </c>
      <c r="D136" s="2">
        <f>VLOOKUP(C136,Bölgeler!B:F,4,FALSE)</f>
        <v>7</v>
      </c>
      <c r="E136" s="2" t="str">
        <f>VLOOKUP(C136,Bölgeler!B:F,2,FALSE)</f>
        <v>evet</v>
      </c>
      <c r="F136" s="2">
        <f>VLOOKUP(C136,Bölgeler!B:F,3,FALSE)</f>
        <v>1830772</v>
      </c>
      <c r="G136" s="2">
        <v>1992</v>
      </c>
      <c r="H136" s="9" t="s">
        <v>460</v>
      </c>
      <c r="I136" s="2" t="s">
        <v>297</v>
      </c>
      <c r="J136" s="2">
        <v>62741</v>
      </c>
    </row>
    <row r="137" spans="1:10" x14ac:dyDescent="0.3">
      <c r="A137" s="1" t="s">
        <v>170</v>
      </c>
      <c r="B137" s="2" t="s">
        <v>30</v>
      </c>
      <c r="C137" s="1" t="s">
        <v>122</v>
      </c>
      <c r="D137" s="2">
        <f>VLOOKUP(C137,Bölgeler!B:F,4,FALSE)</f>
        <v>7</v>
      </c>
      <c r="E137" s="2" t="str">
        <f>VLOOKUP(C137,Bölgeler!B:F,2,FALSE)</f>
        <v>evet</v>
      </c>
      <c r="F137" s="2">
        <f>VLOOKUP(C137,Bölgeler!B:F,3,FALSE)</f>
        <v>14804116</v>
      </c>
      <c r="G137" s="2">
        <v>1993</v>
      </c>
      <c r="H137" s="9" t="s">
        <v>459</v>
      </c>
      <c r="I137" s="2" t="s">
        <v>297</v>
      </c>
      <c r="J137" s="2">
        <v>9913</v>
      </c>
    </row>
    <row r="138" spans="1:10" x14ac:dyDescent="0.3">
      <c r="A138" s="1" t="s">
        <v>223</v>
      </c>
      <c r="B138" s="2" t="s">
        <v>30</v>
      </c>
      <c r="C138" s="1" t="s">
        <v>219</v>
      </c>
      <c r="D138" s="2">
        <f>VLOOKUP(C138,Bölgeler!B:F,4,FALSE)</f>
        <v>5</v>
      </c>
      <c r="E138" s="2" t="str">
        <f>VLOOKUP(C138,Bölgeler!B:F,2,FALSE)</f>
        <v>evet</v>
      </c>
      <c r="F138" s="2">
        <f>VLOOKUP(C138,Bölgeler!B:F,3,FALSE)</f>
        <v>2161303</v>
      </c>
      <c r="G138" s="2">
        <v>2013</v>
      </c>
      <c r="H138" s="9" t="s">
        <v>541</v>
      </c>
      <c r="I138" s="2" t="s">
        <v>297</v>
      </c>
      <c r="J138" s="2">
        <v>1121</v>
      </c>
    </row>
    <row r="139" spans="1:10" x14ac:dyDescent="0.3">
      <c r="A139" s="1" t="s">
        <v>220</v>
      </c>
      <c r="B139" s="2" t="s">
        <v>6</v>
      </c>
      <c r="C139" s="1" t="s">
        <v>219</v>
      </c>
      <c r="D139" s="2">
        <f>VLOOKUP(C139,Bölgeler!B:F,4,FALSE)</f>
        <v>5</v>
      </c>
      <c r="E139" s="2" t="str">
        <f>VLOOKUP(C139,Bölgeler!B:F,2,FALSE)</f>
        <v>evet</v>
      </c>
      <c r="F139" s="2">
        <f>VLOOKUP(C139,Bölgeler!B:F,3,FALSE)</f>
        <v>2161303</v>
      </c>
      <c r="G139" s="2">
        <v>2018</v>
      </c>
      <c r="H139" s="9" t="s">
        <v>460</v>
      </c>
      <c r="I139" s="2" t="s">
        <v>297</v>
      </c>
      <c r="J139" s="2">
        <v>12314</v>
      </c>
    </row>
    <row r="140" spans="1:10" x14ac:dyDescent="0.3">
      <c r="A140" s="1" t="s">
        <v>224</v>
      </c>
      <c r="B140" s="2" t="s">
        <v>30</v>
      </c>
      <c r="C140" s="1" t="s">
        <v>219</v>
      </c>
      <c r="D140" s="2">
        <f>VLOOKUP(C140,Bölgeler!B:F,4,FALSE)</f>
        <v>5</v>
      </c>
      <c r="E140" s="2" t="str">
        <f>VLOOKUP(C140,Bölgeler!B:F,2,FALSE)</f>
        <v>evet</v>
      </c>
      <c r="F140" s="2">
        <f>VLOOKUP(C140,Bölgeler!B:F,3,FALSE)</f>
        <v>2161303</v>
      </c>
      <c r="G140" s="2">
        <v>2009</v>
      </c>
      <c r="H140" s="9" t="s">
        <v>541</v>
      </c>
      <c r="I140" s="2" t="s">
        <v>297</v>
      </c>
      <c r="J140" s="2">
        <v>8489</v>
      </c>
    </row>
    <row r="141" spans="1:10" x14ac:dyDescent="0.3">
      <c r="A141" s="1" t="s">
        <v>226</v>
      </c>
      <c r="B141" s="2" t="s">
        <v>6</v>
      </c>
      <c r="C141" s="1" t="s">
        <v>225</v>
      </c>
      <c r="D141" s="2">
        <f>VLOOKUP(C141,Bölgeler!B:F,4,FALSE)</f>
        <v>3</v>
      </c>
      <c r="E141" s="2" t="str">
        <f>VLOOKUP(C141,Bölgeler!B:F,2,FALSE)</f>
        <v>hayır</v>
      </c>
      <c r="F141" s="2">
        <f>VLOOKUP(C141,Bölgeler!B:F,3,FALSE)</f>
        <v>573642</v>
      </c>
      <c r="G141" s="2">
        <v>1992</v>
      </c>
      <c r="H141" s="9" t="s">
        <v>460</v>
      </c>
      <c r="I141" s="2" t="s">
        <v>297</v>
      </c>
      <c r="J141" s="2">
        <v>44749</v>
      </c>
    </row>
    <row r="142" spans="1:10" x14ac:dyDescent="0.3">
      <c r="A142" s="1" t="s">
        <v>227</v>
      </c>
      <c r="B142" s="2" t="s">
        <v>6</v>
      </c>
      <c r="C142" s="1" t="s">
        <v>225</v>
      </c>
      <c r="D142" s="2">
        <f>VLOOKUP(C142,Bölgeler!B:F,4,FALSE)</f>
        <v>3</v>
      </c>
      <c r="E142" s="2" t="str">
        <f>VLOOKUP(C142,Bölgeler!B:F,2,FALSE)</f>
        <v>hayır</v>
      </c>
      <c r="F142" s="2">
        <f>VLOOKUP(C142,Bölgeler!B:F,3,FALSE)</f>
        <v>573642</v>
      </c>
      <c r="G142" s="2">
        <v>2018</v>
      </c>
      <c r="H142" s="9" t="s">
        <v>541</v>
      </c>
      <c r="I142" s="2" t="s">
        <v>297</v>
      </c>
      <c r="J142" s="2">
        <v>4440</v>
      </c>
    </row>
    <row r="143" spans="1:10" x14ac:dyDescent="0.3">
      <c r="A143" s="1" t="s">
        <v>37</v>
      </c>
      <c r="B143" s="2" t="s">
        <v>30</v>
      </c>
      <c r="C143" s="1" t="s">
        <v>292</v>
      </c>
      <c r="D143" s="2">
        <f>VLOOKUP(C143,Bölgeler!B:F,4,FALSE)</f>
        <v>5</v>
      </c>
      <c r="E143" s="2" t="str">
        <f>VLOOKUP(C143,Bölgeler!B:F,2,FALSE)</f>
        <v>evet</v>
      </c>
      <c r="F143" s="2">
        <f>VLOOKUP(C143,Bölgeler!B:F,3,FALSE)</f>
        <v>5346518</v>
      </c>
      <c r="G143" s="2">
        <v>2018</v>
      </c>
      <c r="H143" s="9" t="s">
        <v>541</v>
      </c>
      <c r="I143" s="2" t="s">
        <v>297</v>
      </c>
      <c r="J143" s="2">
        <v>3147</v>
      </c>
    </row>
    <row r="144" spans="1:10" x14ac:dyDescent="0.3">
      <c r="A144" s="1" t="s">
        <v>230</v>
      </c>
      <c r="B144" s="2" t="s">
        <v>6</v>
      </c>
      <c r="C144" s="1" t="s">
        <v>228</v>
      </c>
      <c r="D144" s="2">
        <f>VLOOKUP(C144,Bölgeler!B:F,4,FALSE)</f>
        <v>2</v>
      </c>
      <c r="E144" s="2" t="str">
        <f>VLOOKUP(C144,Bölgeler!B:F,2,FALSE)</f>
        <v>evet</v>
      </c>
      <c r="F144" s="2">
        <f>VLOOKUP(C144,Bölgeler!B:F,3,FALSE)</f>
        <v>781305</v>
      </c>
      <c r="G144" s="2">
        <v>2018</v>
      </c>
      <c r="H144" s="9" t="s">
        <v>541</v>
      </c>
      <c r="I144" s="2" t="s">
        <v>297</v>
      </c>
      <c r="J144" s="2">
        <v>4849</v>
      </c>
    </row>
    <row r="145" spans="1:10" x14ac:dyDescent="0.3">
      <c r="A145" s="1" t="s">
        <v>171</v>
      </c>
      <c r="B145" s="2" t="s">
        <v>30</v>
      </c>
      <c r="C145" s="1" t="s">
        <v>122</v>
      </c>
      <c r="D145" s="2">
        <f>VLOOKUP(C145,Bölgeler!B:F,4,FALSE)</f>
        <v>7</v>
      </c>
      <c r="E145" s="2" t="str">
        <f>VLOOKUP(C145,Bölgeler!B:F,2,FALSE)</f>
        <v>evet</v>
      </c>
      <c r="F145" s="2">
        <f>VLOOKUP(C145,Bölgeler!B:F,3,FALSE)</f>
        <v>14804116</v>
      </c>
      <c r="G145" s="2">
        <v>1997</v>
      </c>
      <c r="H145" s="9" t="s">
        <v>460</v>
      </c>
      <c r="I145" s="2" t="s">
        <v>297</v>
      </c>
      <c r="J145" s="2">
        <v>11583</v>
      </c>
    </row>
    <row r="146" spans="1:10" x14ac:dyDescent="0.3">
      <c r="A146" s="1" t="s">
        <v>232</v>
      </c>
      <c r="B146" s="2" t="s">
        <v>6</v>
      </c>
      <c r="C146" s="1" t="s">
        <v>231</v>
      </c>
      <c r="D146" s="2">
        <f>VLOOKUP(C146,Bölgeler!B:F,4,FALSE)</f>
        <v>3</v>
      </c>
      <c r="E146" s="2" t="str">
        <f>VLOOKUP(C146,Bölgeler!B:F,2,FALSE)</f>
        <v>evet</v>
      </c>
      <c r="F146" s="2">
        <f>VLOOKUP(C146,Bölgeler!B:F,3,FALSE)</f>
        <v>1396945</v>
      </c>
      <c r="G146" s="2">
        <v>1992</v>
      </c>
      <c r="H146" s="9" t="s">
        <v>458</v>
      </c>
      <c r="I146" s="2" t="s">
        <v>297</v>
      </c>
      <c r="J146" s="2">
        <v>43910</v>
      </c>
    </row>
    <row r="147" spans="1:10" x14ac:dyDescent="0.3">
      <c r="A147" s="1" t="s">
        <v>234</v>
      </c>
      <c r="B147" s="2" t="s">
        <v>6</v>
      </c>
      <c r="C147" s="1" t="s">
        <v>233</v>
      </c>
      <c r="D147" s="2">
        <f>VLOOKUP(C147,Bölgeler!B:F,4,FALSE)</f>
        <v>4</v>
      </c>
      <c r="E147" s="2" t="str">
        <f>VLOOKUP(C147,Bölgeler!B:F,2,FALSE)</f>
        <v>evet</v>
      </c>
      <c r="F147" s="2">
        <f>VLOOKUP(C147,Bölgeler!B:F,3,FALSE)</f>
        <v>796237</v>
      </c>
      <c r="G147" s="2">
        <v>2007</v>
      </c>
      <c r="H147" s="9" t="s">
        <v>541</v>
      </c>
      <c r="I147" s="2" t="s">
        <v>297</v>
      </c>
      <c r="J147" s="2">
        <v>14306</v>
      </c>
    </row>
    <row r="148" spans="1:10" x14ac:dyDescent="0.3">
      <c r="A148" s="1" t="s">
        <v>129</v>
      </c>
      <c r="B148" s="2" t="s">
        <v>6</v>
      </c>
      <c r="C148" s="1" t="s">
        <v>122</v>
      </c>
      <c r="D148" s="2">
        <f>VLOOKUP(C148,Bölgeler!B:F,4,FALSE)</f>
        <v>7</v>
      </c>
      <c r="E148" s="2" t="str">
        <f>VLOOKUP(C148,Bölgeler!B:F,2,FALSE)</f>
        <v>evet</v>
      </c>
      <c r="F148" s="2">
        <f>VLOOKUP(C148,Bölgeler!B:F,3,FALSE)</f>
        <v>14804116</v>
      </c>
      <c r="G148" s="2">
        <v>1883</v>
      </c>
      <c r="H148" s="9" t="s">
        <v>458</v>
      </c>
      <c r="I148" s="2" t="s">
        <v>295</v>
      </c>
      <c r="J148" s="2">
        <v>68350</v>
      </c>
    </row>
    <row r="149" spans="1:10" x14ac:dyDescent="0.3">
      <c r="A149" s="1" t="s">
        <v>172</v>
      </c>
      <c r="B149" s="2" t="s">
        <v>30</v>
      </c>
      <c r="C149" s="1" t="s">
        <v>122</v>
      </c>
      <c r="D149" s="2">
        <f>VLOOKUP(C149,Bölgeler!B:F,4,FALSE)</f>
        <v>7</v>
      </c>
      <c r="E149" s="2" t="str">
        <f>VLOOKUP(C149,Bölgeler!B:F,2,FALSE)</f>
        <v>evet</v>
      </c>
      <c r="F149" s="2">
        <f>VLOOKUP(C149,Bölgeler!B:F,3,FALSE)</f>
        <v>14804116</v>
      </c>
      <c r="G149" s="2">
        <v>2012</v>
      </c>
      <c r="H149" s="9" t="s">
        <v>541</v>
      </c>
      <c r="I149" s="2" t="s">
        <v>297</v>
      </c>
      <c r="J149" s="2">
        <v>4051</v>
      </c>
    </row>
    <row r="150" spans="1:10" x14ac:dyDescent="0.3">
      <c r="A150" s="1" t="s">
        <v>236</v>
      </c>
      <c r="B150" s="2" t="s">
        <v>6</v>
      </c>
      <c r="C150" s="1" t="s">
        <v>235</v>
      </c>
      <c r="D150" s="2">
        <f>VLOOKUP(C150,Bölgeler!B:F,4,FALSE)</f>
        <v>1</v>
      </c>
      <c r="E150" s="2" t="str">
        <f>VLOOKUP(C150,Bölgeler!B:F,2,FALSE)</f>
        <v>evet</v>
      </c>
      <c r="F150" s="2">
        <f>VLOOKUP(C150,Bölgeler!B:F,3,FALSE)</f>
        <v>1773852</v>
      </c>
      <c r="G150" s="2">
        <v>1992</v>
      </c>
      <c r="H150" s="9" t="s">
        <v>458</v>
      </c>
      <c r="I150" s="2" t="s">
        <v>296</v>
      </c>
      <c r="J150" s="2">
        <v>39748</v>
      </c>
    </row>
    <row r="151" spans="1:10" x14ac:dyDescent="0.3">
      <c r="A151" s="1" t="s">
        <v>130</v>
      </c>
      <c r="B151" s="2" t="s">
        <v>6</v>
      </c>
      <c r="C151" s="1" t="s">
        <v>122</v>
      </c>
      <c r="D151" s="2">
        <f>VLOOKUP(C151,Bölgeler!B:F,4,FALSE)</f>
        <v>7</v>
      </c>
      <c r="E151" s="2" t="str">
        <f>VLOOKUP(C151,Bölgeler!B:F,2,FALSE)</f>
        <v>evet</v>
      </c>
      <c r="F151" s="2">
        <f>VLOOKUP(C151,Bölgeler!B:F,3,FALSE)</f>
        <v>14804116</v>
      </c>
      <c r="G151" s="2">
        <v>1834</v>
      </c>
      <c r="H151" s="9" t="s">
        <v>541</v>
      </c>
      <c r="I151" s="2" t="s">
        <v>297</v>
      </c>
      <c r="J151" s="2" t="s">
        <v>298</v>
      </c>
    </row>
    <row r="152" spans="1:10" x14ac:dyDescent="0.3">
      <c r="A152" s="1" t="s">
        <v>131</v>
      </c>
      <c r="B152" s="2" t="s">
        <v>6</v>
      </c>
      <c r="C152" s="1" t="s">
        <v>122</v>
      </c>
      <c r="D152" s="2">
        <f>VLOOKUP(C152,Bölgeler!B:F,4,FALSE)</f>
        <v>7</v>
      </c>
      <c r="E152" s="2" t="str">
        <f>VLOOKUP(C152,Bölgeler!B:F,2,FALSE)</f>
        <v>evet</v>
      </c>
      <c r="F152" s="2">
        <f>VLOOKUP(C152,Bölgeler!B:F,3,FALSE)</f>
        <v>14804116</v>
      </c>
      <c r="G152" s="2">
        <v>1882</v>
      </c>
      <c r="H152" s="9" t="s">
        <v>541</v>
      </c>
      <c r="I152" s="2" t="s">
        <v>297</v>
      </c>
      <c r="J152" s="2">
        <v>9628</v>
      </c>
    </row>
    <row r="153" spans="1:10" x14ac:dyDescent="0.3">
      <c r="A153" s="1" t="s">
        <v>78</v>
      </c>
      <c r="B153" s="2" t="s">
        <v>30</v>
      </c>
      <c r="C153" s="1" t="s">
        <v>75</v>
      </c>
      <c r="D153" s="2">
        <f>VLOOKUP(C153,Bölgeler!B:F,4,FALSE)</f>
        <v>7</v>
      </c>
      <c r="E153" s="2" t="str">
        <f>VLOOKUP(C153,Bölgeler!B:F,2,FALSE)</f>
        <v>evet</v>
      </c>
      <c r="F153" s="2">
        <f>VLOOKUP(C153,Bölgeler!B:F,3,FALSE)</f>
        <v>2901396</v>
      </c>
      <c r="G153" s="2">
        <v>2022</v>
      </c>
      <c r="H153" s="9" t="s">
        <v>541</v>
      </c>
      <c r="I153" s="2" t="s">
        <v>297</v>
      </c>
      <c r="J153" s="2" t="s">
        <v>298</v>
      </c>
    </row>
    <row r="154" spans="1:10" x14ac:dyDescent="0.3">
      <c r="A154" s="1" t="s">
        <v>241</v>
      </c>
      <c r="B154" s="2" t="s">
        <v>6</v>
      </c>
      <c r="C154" s="1" t="s">
        <v>240</v>
      </c>
      <c r="D154" s="2">
        <f>VLOOKUP(C154,Bölgeler!B:F,4,FALSE)</f>
        <v>3</v>
      </c>
      <c r="E154" s="2" t="str">
        <f>VLOOKUP(C154,Bölgeler!B:F,2,FALSE)</f>
        <v>evet</v>
      </c>
      <c r="F154" s="2">
        <f>VLOOKUP(C154,Bölgeler!B:F,3,FALSE)</f>
        <v>923773</v>
      </c>
      <c r="G154" s="2">
        <v>1992</v>
      </c>
      <c r="H154" s="9" t="s">
        <v>458</v>
      </c>
      <c r="I154" s="2" t="s">
        <v>296</v>
      </c>
      <c r="J154" s="2">
        <v>40981</v>
      </c>
    </row>
    <row r="155" spans="1:10" x14ac:dyDescent="0.3">
      <c r="A155" s="1" t="s">
        <v>281</v>
      </c>
      <c r="B155" s="2" t="s">
        <v>6</v>
      </c>
      <c r="C155" s="1" t="s">
        <v>280</v>
      </c>
      <c r="D155" s="2">
        <f>VLOOKUP(C155,Bölgeler!B:F,4,FALSE)</f>
        <v>2</v>
      </c>
      <c r="E155" s="2" t="str">
        <f>VLOOKUP(C155,Bölgeler!B:F,2,FALSE)</f>
        <v>hayır</v>
      </c>
      <c r="F155" s="2">
        <f>VLOOKUP(C155,Bölgeler!B:F,3,FALSE)</f>
        <v>82193</v>
      </c>
      <c r="G155" s="2">
        <v>2008</v>
      </c>
      <c r="H155" s="9" t="s">
        <v>541</v>
      </c>
      <c r="I155" s="2" t="s">
        <v>297</v>
      </c>
      <c r="J155" s="2">
        <v>6293</v>
      </c>
    </row>
    <row r="156" spans="1:10" x14ac:dyDescent="0.3">
      <c r="A156" s="1" t="s">
        <v>243</v>
      </c>
      <c r="B156" s="2" t="s">
        <v>6</v>
      </c>
      <c r="C156" s="1" t="s">
        <v>242</v>
      </c>
      <c r="D156" s="2">
        <f>VLOOKUP(C156,Bölgeler!B:F,4,FALSE)</f>
        <v>2</v>
      </c>
      <c r="E156" s="2" t="str">
        <f>VLOOKUP(C156,Bölgeler!B:F,2,FALSE)</f>
        <v>hayır</v>
      </c>
      <c r="F156" s="2">
        <f>VLOOKUP(C156,Bölgeler!B:F,3,FALSE)</f>
        <v>406501</v>
      </c>
      <c r="G156" s="2">
        <v>2007</v>
      </c>
      <c r="H156" s="9" t="s">
        <v>460</v>
      </c>
      <c r="I156" s="2" t="s">
        <v>297</v>
      </c>
      <c r="J156" s="2">
        <v>10535</v>
      </c>
    </row>
    <row r="157" spans="1:10" x14ac:dyDescent="0.3">
      <c r="A157" s="1" t="s">
        <v>221</v>
      </c>
      <c r="B157" s="2" t="s">
        <v>6</v>
      </c>
      <c r="C157" s="1" t="s">
        <v>219</v>
      </c>
      <c r="D157" s="2">
        <f>VLOOKUP(C157,Bölgeler!B:F,4,FALSE)</f>
        <v>5</v>
      </c>
      <c r="E157" s="2" t="str">
        <f>VLOOKUP(C157,Bölgeler!B:F,2,FALSE)</f>
        <v>evet</v>
      </c>
      <c r="F157" s="2">
        <f>VLOOKUP(C157,Bölgeler!B:F,3,FALSE)</f>
        <v>2161303</v>
      </c>
      <c r="G157" s="2">
        <v>2010</v>
      </c>
      <c r="H157" s="9" t="s">
        <v>541</v>
      </c>
      <c r="I157" s="2" t="s">
        <v>297</v>
      </c>
      <c r="J157" s="2">
        <v>35684</v>
      </c>
    </row>
    <row r="158" spans="1:10" x14ac:dyDescent="0.3">
      <c r="A158" s="1" t="s">
        <v>245</v>
      </c>
      <c r="B158" s="2" t="s">
        <v>6</v>
      </c>
      <c r="C158" s="1" t="s">
        <v>244</v>
      </c>
      <c r="D158" s="2">
        <f>VLOOKUP(C158,Bölgeler!B:F,4,FALSE)</f>
        <v>5</v>
      </c>
      <c r="E158" s="2" t="str">
        <f>VLOOKUP(C158,Bölgeler!B:F,2,FALSE)</f>
        <v>hayır</v>
      </c>
      <c r="F158" s="2">
        <f>VLOOKUP(C158,Bölgeler!B:F,3,FALSE)</f>
        <v>290895</v>
      </c>
      <c r="G158" s="2">
        <v>2007</v>
      </c>
      <c r="H158" s="9" t="s">
        <v>541</v>
      </c>
      <c r="I158" s="2" t="s">
        <v>297</v>
      </c>
      <c r="J158" s="2">
        <v>20241</v>
      </c>
    </row>
    <row r="159" spans="1:10" x14ac:dyDescent="0.3">
      <c r="A159" s="1" t="s">
        <v>248</v>
      </c>
      <c r="B159" s="2" t="s">
        <v>6</v>
      </c>
      <c r="C159" s="1" t="s">
        <v>247</v>
      </c>
      <c r="D159" s="2">
        <f>VLOOKUP(C159,Bölgeler!B:F,4,FALSE)</f>
        <v>5</v>
      </c>
      <c r="E159" s="2" t="str">
        <f>VLOOKUP(C159,Bölgeler!B:F,2,FALSE)</f>
        <v>hayır</v>
      </c>
      <c r="F159" s="2">
        <f>VLOOKUP(C159,Bölgeler!B:F,3,FALSE)</f>
        <v>351468</v>
      </c>
      <c r="G159" s="2">
        <v>1992</v>
      </c>
      <c r="H159" s="9" t="s">
        <v>458</v>
      </c>
      <c r="I159" s="2" t="s">
        <v>297</v>
      </c>
      <c r="J159" s="2">
        <v>23285</v>
      </c>
    </row>
    <row r="160" spans="1:10" x14ac:dyDescent="0.3">
      <c r="A160" s="1" t="s">
        <v>173</v>
      </c>
      <c r="B160" s="2" t="s">
        <v>30</v>
      </c>
      <c r="C160" s="1" t="s">
        <v>122</v>
      </c>
      <c r="D160" s="2">
        <f>VLOOKUP(C160,Bölgeler!B:F,4,FALSE)</f>
        <v>7</v>
      </c>
      <c r="E160" s="2" t="str">
        <f>VLOOKUP(C160,Bölgeler!B:F,2,FALSE)</f>
        <v>evet</v>
      </c>
      <c r="F160" s="2">
        <f>VLOOKUP(C160,Bölgeler!B:F,3,FALSE)</f>
        <v>14804116</v>
      </c>
      <c r="G160" s="2">
        <v>2009</v>
      </c>
      <c r="H160" s="9" t="s">
        <v>541</v>
      </c>
      <c r="I160" s="2" t="s">
        <v>297</v>
      </c>
      <c r="J160" s="2">
        <v>26145</v>
      </c>
    </row>
    <row r="161" spans="1:10" x14ac:dyDescent="0.3">
      <c r="A161" s="1" t="s">
        <v>206</v>
      </c>
      <c r="B161" s="2" t="s">
        <v>30</v>
      </c>
      <c r="C161" s="1" t="s">
        <v>202</v>
      </c>
      <c r="D161" s="2">
        <f>VLOOKUP(C161,Bölgeler!B:F,4,FALSE)</f>
        <v>5</v>
      </c>
      <c r="E161" s="2" t="str">
        <f>VLOOKUP(C161,Bölgeler!B:F,2,FALSE)</f>
        <v>evet</v>
      </c>
      <c r="F161" s="2">
        <f>VLOOKUP(C161,Bölgeler!B:F,3,FALSE)</f>
        <v>1358980</v>
      </c>
      <c r="G161" s="2">
        <v>2009</v>
      </c>
      <c r="H161" s="9" t="s">
        <v>541</v>
      </c>
      <c r="I161" s="2" t="s">
        <v>297</v>
      </c>
      <c r="J161" s="2">
        <v>2517</v>
      </c>
    </row>
    <row r="162" spans="1:10" x14ac:dyDescent="0.3">
      <c r="A162" s="1" t="s">
        <v>259</v>
      </c>
      <c r="B162" s="2" t="s">
        <v>6</v>
      </c>
      <c r="C162" s="1" t="s">
        <v>258</v>
      </c>
      <c r="D162" s="2">
        <f>VLOOKUP(C162,Bölgeler!B:F,4,FALSE)</f>
        <v>6</v>
      </c>
      <c r="E162" s="2" t="str">
        <f>VLOOKUP(C162,Bölgeler!B:F,2,FALSE)</f>
        <v>evet</v>
      </c>
      <c r="F162" s="2">
        <f>VLOOKUP(C162,Bölgeler!B:F,3,FALSE)</f>
        <v>1295927</v>
      </c>
      <c r="G162" s="2">
        <v>1975</v>
      </c>
      <c r="H162" s="9" t="s">
        <v>458</v>
      </c>
      <c r="I162" s="2" t="s">
        <v>297</v>
      </c>
      <c r="J162" s="2">
        <v>50054</v>
      </c>
    </row>
    <row r="163" spans="1:10" x14ac:dyDescent="0.3">
      <c r="A163" s="1" t="s">
        <v>250</v>
      </c>
      <c r="B163" s="2" t="s">
        <v>6</v>
      </c>
      <c r="C163" s="1" t="s">
        <v>249</v>
      </c>
      <c r="D163" s="2">
        <f>VLOOKUP(C163,Bölgeler!B:F,4,FALSE)</f>
        <v>6</v>
      </c>
      <c r="E163" s="2" t="str">
        <f>VLOOKUP(C163,Bölgeler!B:F,2,FALSE)</f>
        <v>evet</v>
      </c>
      <c r="F163" s="2">
        <f>VLOOKUP(C163,Bölgeler!B:F,3,FALSE)</f>
        <v>750588</v>
      </c>
      <c r="G163" s="2">
        <v>2006</v>
      </c>
      <c r="H163" s="9" t="s">
        <v>541</v>
      </c>
      <c r="I163" s="2" t="s">
        <v>297</v>
      </c>
      <c r="J163" s="2">
        <v>16148</v>
      </c>
    </row>
    <row r="164" spans="1:10" x14ac:dyDescent="0.3">
      <c r="A164" s="1" t="s">
        <v>26</v>
      </c>
      <c r="B164" s="2" t="s">
        <v>6</v>
      </c>
      <c r="C164" s="1" t="s">
        <v>292</v>
      </c>
      <c r="D164" s="2">
        <f>VLOOKUP(C164,Bölgeler!B:F,4,FALSE)</f>
        <v>5</v>
      </c>
      <c r="E164" s="2" t="str">
        <f>VLOOKUP(C164,Bölgeler!B:F,2,FALSE)</f>
        <v>evet</v>
      </c>
      <c r="F164" s="2">
        <f>VLOOKUP(C164,Bölgeler!B:F,3,FALSE)</f>
        <v>5346518</v>
      </c>
      <c r="G164" s="2">
        <v>1956</v>
      </c>
      <c r="H164" s="9" t="s">
        <v>459</v>
      </c>
      <c r="I164" s="2" t="s">
        <v>295</v>
      </c>
      <c r="J164" s="2">
        <v>31217</v>
      </c>
    </row>
    <row r="165" spans="1:10" x14ac:dyDescent="0.3">
      <c r="A165" s="1" t="s">
        <v>252</v>
      </c>
      <c r="B165" s="2" t="s">
        <v>6</v>
      </c>
      <c r="C165" s="1" t="s">
        <v>251</v>
      </c>
      <c r="D165" s="2">
        <f>VLOOKUP(C165,Bölgeler!B:F,4,FALSE)</f>
        <v>1</v>
      </c>
      <c r="E165" s="2" t="str">
        <f>VLOOKUP(C165,Bölgeler!B:F,2,FALSE)</f>
        <v>hayır</v>
      </c>
      <c r="F165" s="2">
        <f>VLOOKUP(C165,Bölgeler!B:F,3,FALSE)</f>
        <v>522175</v>
      </c>
      <c r="G165" s="2">
        <v>2007</v>
      </c>
      <c r="H165" s="9" t="s">
        <v>541</v>
      </c>
      <c r="I165" s="2" t="s">
        <v>297</v>
      </c>
      <c r="J165" s="2">
        <v>12261</v>
      </c>
    </row>
    <row r="166" spans="1:10" x14ac:dyDescent="0.3">
      <c r="A166" s="1" t="s">
        <v>38</v>
      </c>
      <c r="B166" s="2" t="s">
        <v>30</v>
      </c>
      <c r="C166" s="1" t="s">
        <v>292</v>
      </c>
      <c r="D166" s="2">
        <f>VLOOKUP(C166,Bölgeler!B:F,4,FALSE)</f>
        <v>5</v>
      </c>
      <c r="E166" s="2" t="str">
        <f>VLOOKUP(C166,Bölgeler!B:F,2,FALSE)</f>
        <v>evet</v>
      </c>
      <c r="F166" s="2">
        <f>VLOOKUP(C166,Bölgeler!B:F,3,FALSE)</f>
        <v>5346518</v>
      </c>
      <c r="G166" s="2">
        <v>2017</v>
      </c>
      <c r="H166" s="9" t="s">
        <v>541</v>
      </c>
      <c r="I166" s="2" t="s">
        <v>297</v>
      </c>
      <c r="J166" s="2">
        <v>3544</v>
      </c>
    </row>
    <row r="167" spans="1:10" x14ac:dyDescent="0.3">
      <c r="A167" s="1" t="s">
        <v>174</v>
      </c>
      <c r="B167" s="2" t="s">
        <v>30</v>
      </c>
      <c r="C167" s="1" t="s">
        <v>122</v>
      </c>
      <c r="D167" s="2">
        <f>VLOOKUP(C167,Bölgeler!B:F,4,FALSE)</f>
        <v>7</v>
      </c>
      <c r="E167" s="2" t="str">
        <f>VLOOKUP(C167,Bölgeler!B:F,2,FALSE)</f>
        <v>evet</v>
      </c>
      <c r="F167" s="2">
        <f>VLOOKUP(C167,Bölgeler!B:F,3,FALSE)</f>
        <v>14804116</v>
      </c>
      <c r="G167" s="2">
        <v>2007</v>
      </c>
      <c r="H167" s="9" t="s">
        <v>541</v>
      </c>
      <c r="I167" s="2" t="s">
        <v>297</v>
      </c>
      <c r="J167" s="2">
        <v>8505</v>
      </c>
    </row>
    <row r="168" spans="1:10" x14ac:dyDescent="0.3">
      <c r="A168" s="1" t="s">
        <v>86</v>
      </c>
      <c r="B168" s="2" t="s">
        <v>6</v>
      </c>
      <c r="C168" s="1" t="s">
        <v>85</v>
      </c>
      <c r="D168" s="2">
        <f>VLOOKUP(C168,Bölgeler!B:F,4,FALSE)</f>
        <v>3</v>
      </c>
      <c r="E168" s="2" t="str">
        <f>VLOOKUP(C168,Bölgeler!B:F,2,FALSE)</f>
        <v>evet</v>
      </c>
      <c r="F168" s="2">
        <f>VLOOKUP(C168,Bölgeler!B:F,3,FALSE)</f>
        <v>1005687</v>
      </c>
      <c r="G168" s="2">
        <v>1992</v>
      </c>
      <c r="H168" s="9" t="s">
        <v>458</v>
      </c>
      <c r="I168" s="2" t="s">
        <v>297</v>
      </c>
      <c r="J168" s="2">
        <v>43938</v>
      </c>
    </row>
    <row r="169" spans="1:10" x14ac:dyDescent="0.3">
      <c r="A169" s="1" t="s">
        <v>175</v>
      </c>
      <c r="B169" s="2" t="s">
        <v>30</v>
      </c>
      <c r="C169" s="1" t="s">
        <v>122</v>
      </c>
      <c r="D169" s="2">
        <f>VLOOKUP(C169,Bölgeler!B:F,4,FALSE)</f>
        <v>7</v>
      </c>
      <c r="E169" s="2" t="str">
        <f>VLOOKUP(C169,Bölgeler!B:F,2,FALSE)</f>
        <v>evet</v>
      </c>
      <c r="F169" s="2">
        <f>VLOOKUP(C169,Bölgeler!B:F,3,FALSE)</f>
        <v>14804116</v>
      </c>
      <c r="G169" s="2">
        <v>2008</v>
      </c>
      <c r="H169" s="9" t="s">
        <v>541</v>
      </c>
      <c r="I169" s="2" t="s">
        <v>297</v>
      </c>
      <c r="J169" s="2">
        <v>5375</v>
      </c>
    </row>
    <row r="170" spans="1:10" x14ac:dyDescent="0.3">
      <c r="A170" s="1" t="s">
        <v>28</v>
      </c>
      <c r="B170" s="2" t="s">
        <v>6</v>
      </c>
      <c r="C170" s="1" t="s">
        <v>292</v>
      </c>
      <c r="D170" s="2">
        <f>VLOOKUP(C170,Bölgeler!B:F,4,FALSE)</f>
        <v>5</v>
      </c>
      <c r="E170" s="2" t="str">
        <f>VLOOKUP(C170,Bölgeler!B:F,2,FALSE)</f>
        <v>evet</v>
      </c>
      <c r="F170" s="2">
        <f>VLOOKUP(C170,Bölgeler!B:F,3,FALSE)</f>
        <v>5346518</v>
      </c>
      <c r="G170" s="2">
        <v>1937</v>
      </c>
      <c r="H170" s="9" t="s">
        <v>541</v>
      </c>
      <c r="I170" s="2" t="s">
        <v>297</v>
      </c>
      <c r="J170" s="2" t="s">
        <v>298</v>
      </c>
    </row>
    <row r="171" spans="1:10" x14ac:dyDescent="0.3">
      <c r="A171" s="1" t="s">
        <v>254</v>
      </c>
      <c r="B171" s="2" t="s">
        <v>6</v>
      </c>
      <c r="C171" s="1" t="s">
        <v>253</v>
      </c>
      <c r="D171" s="2">
        <f>VLOOKUP(C171,Bölgeler!B:F,4,FALSE)</f>
        <v>6</v>
      </c>
      <c r="E171" s="2" t="str">
        <f>VLOOKUP(C171,Bölgeler!B:F,2,FALSE)</f>
        <v>hayır</v>
      </c>
      <c r="F171" s="2">
        <f>VLOOKUP(C171,Bölgeler!B:F,3,FALSE)</f>
        <v>331048</v>
      </c>
      <c r="G171" s="2">
        <v>2006</v>
      </c>
      <c r="H171" s="9" t="s">
        <v>541</v>
      </c>
      <c r="I171" s="2" t="s">
        <v>297</v>
      </c>
      <c r="J171" s="2">
        <v>16678</v>
      </c>
    </row>
    <row r="172" spans="1:10" x14ac:dyDescent="0.3">
      <c r="A172" s="1" t="s">
        <v>176</v>
      </c>
      <c r="B172" s="2" t="s">
        <v>30</v>
      </c>
      <c r="C172" s="1" t="s">
        <v>122</v>
      </c>
      <c r="D172" s="2">
        <f>VLOOKUP(C172,Bölgeler!B:F,4,FALSE)</f>
        <v>7</v>
      </c>
      <c r="E172" s="2" t="str">
        <f>VLOOKUP(C172,Bölgeler!B:F,2,FALSE)</f>
        <v>evet</v>
      </c>
      <c r="F172" s="2">
        <f>VLOOKUP(C172,Bölgeler!B:F,3,FALSE)</f>
        <v>14804116</v>
      </c>
      <c r="G172" s="2">
        <v>1996</v>
      </c>
      <c r="H172" s="9" t="s">
        <v>459</v>
      </c>
      <c r="I172" s="2" t="s">
        <v>297</v>
      </c>
      <c r="J172" s="2">
        <v>5224</v>
      </c>
    </row>
    <row r="173" spans="1:10" x14ac:dyDescent="0.3">
      <c r="A173" s="1" t="s">
        <v>135</v>
      </c>
      <c r="B173" s="2" t="s">
        <v>6</v>
      </c>
      <c r="C173" s="1" t="s">
        <v>122</v>
      </c>
      <c r="D173" s="2">
        <f>VLOOKUP(C173,Bölgeler!B:F,4,FALSE)</f>
        <v>7</v>
      </c>
      <c r="E173" s="2" t="str">
        <f>VLOOKUP(C173,Bölgeler!B:F,2,FALSE)</f>
        <v>evet</v>
      </c>
      <c r="F173" s="2">
        <f>VLOOKUP(C173,Bölgeler!B:F,3,FALSE)</f>
        <v>14804116</v>
      </c>
      <c r="G173" s="2">
        <v>1827</v>
      </c>
      <c r="H173" s="9" t="s">
        <v>541</v>
      </c>
      <c r="I173" s="2" t="s">
        <v>297</v>
      </c>
      <c r="J173" s="2">
        <v>20653</v>
      </c>
    </row>
    <row r="174" spans="1:10" x14ac:dyDescent="0.3">
      <c r="A174" s="1" t="s">
        <v>257</v>
      </c>
      <c r="B174" s="2" t="s">
        <v>6</v>
      </c>
      <c r="C174" s="1" t="s">
        <v>255</v>
      </c>
      <c r="D174" s="2">
        <f>VLOOKUP(C174,Bölgeler!B:F,4,FALSE)</f>
        <v>7</v>
      </c>
      <c r="E174" s="2" t="str">
        <f>VLOOKUP(C174,Bölgeler!B:F,2,FALSE)</f>
        <v>evet</v>
      </c>
      <c r="F174" s="2">
        <f>VLOOKUP(C174,Bölgeler!B:F,3,FALSE)</f>
        <v>976948</v>
      </c>
      <c r="G174" s="2">
        <v>2018</v>
      </c>
      <c r="H174" s="9" t="s">
        <v>541</v>
      </c>
      <c r="I174" s="2" t="s">
        <v>297</v>
      </c>
      <c r="J174" s="2">
        <v>24934</v>
      </c>
    </row>
    <row r="175" spans="1:10" x14ac:dyDescent="0.3">
      <c r="A175" s="1" t="s">
        <v>256</v>
      </c>
      <c r="B175" s="2" t="s">
        <v>6</v>
      </c>
      <c r="C175" s="1" t="s">
        <v>255</v>
      </c>
      <c r="D175" s="2">
        <f>VLOOKUP(C175,Bölgeler!B:F,4,FALSE)</f>
        <v>7</v>
      </c>
      <c r="E175" s="2" t="str">
        <f>VLOOKUP(C175,Bölgeler!B:F,2,FALSE)</f>
        <v>evet</v>
      </c>
      <c r="F175" s="2">
        <f>VLOOKUP(C175,Bölgeler!B:F,3,FALSE)</f>
        <v>976948</v>
      </c>
      <c r="G175" s="2">
        <v>1992</v>
      </c>
      <c r="H175" s="9" t="s">
        <v>460</v>
      </c>
      <c r="I175" s="2" t="s">
        <v>297</v>
      </c>
      <c r="J175" s="2">
        <v>48478</v>
      </c>
    </row>
    <row r="176" spans="1:10" x14ac:dyDescent="0.3">
      <c r="A176" s="1" t="s">
        <v>260</v>
      </c>
      <c r="B176" s="2" t="s">
        <v>6</v>
      </c>
      <c r="C176" s="1" t="s">
        <v>258</v>
      </c>
      <c r="D176" s="2">
        <f>VLOOKUP(C176,Bölgeler!B:F,4,FALSE)</f>
        <v>6</v>
      </c>
      <c r="E176" s="2" t="str">
        <f>VLOOKUP(C176,Bölgeler!B:F,2,FALSE)</f>
        <v>evet</v>
      </c>
      <c r="F176" s="2">
        <f>VLOOKUP(C176,Bölgeler!B:F,3,FALSE)</f>
        <v>1295927</v>
      </c>
      <c r="G176" s="2">
        <v>2018</v>
      </c>
      <c r="H176" s="9" t="s">
        <v>541</v>
      </c>
      <c r="I176" s="2" t="s">
        <v>297</v>
      </c>
      <c r="J176" s="2">
        <v>4935</v>
      </c>
    </row>
    <row r="177" spans="1:10" x14ac:dyDescent="0.3">
      <c r="A177" s="1" t="s">
        <v>108</v>
      </c>
      <c r="B177" s="2" t="s">
        <v>30</v>
      </c>
      <c r="C177" s="1" t="s">
        <v>104</v>
      </c>
      <c r="D177" s="2">
        <f>VLOOKUP(C177,Bölgeler!B:F,4,FALSE)</f>
        <v>4</v>
      </c>
      <c r="E177" s="2" t="str">
        <f>VLOOKUP(C177,Bölgeler!B:F,2,FALSE)</f>
        <v>evet</v>
      </c>
      <c r="F177" s="2">
        <f>VLOOKUP(C177,Bölgeler!B:F,3,FALSE)</f>
        <v>1974244</v>
      </c>
      <c r="G177" s="2">
        <v>2013</v>
      </c>
      <c r="H177" s="9" t="s">
        <v>541</v>
      </c>
      <c r="I177" s="2" t="s">
        <v>297</v>
      </c>
      <c r="J177" s="2">
        <v>1482</v>
      </c>
    </row>
    <row r="178" spans="1:10" x14ac:dyDescent="0.3">
      <c r="A178" s="1" t="s">
        <v>222</v>
      </c>
      <c r="B178" s="2" t="s">
        <v>6</v>
      </c>
      <c r="C178" s="1" t="s">
        <v>219</v>
      </c>
      <c r="D178" s="2">
        <f>VLOOKUP(C178,Bölgeler!B:F,4,FALSE)</f>
        <v>5</v>
      </c>
      <c r="E178" s="2" t="str">
        <f>VLOOKUP(C178,Bölgeler!B:F,2,FALSE)</f>
        <v>evet</v>
      </c>
      <c r="F178" s="2">
        <f>VLOOKUP(C178,Bölgeler!B:F,3,FALSE)</f>
        <v>2161303</v>
      </c>
      <c r="G178" s="2">
        <v>1975</v>
      </c>
      <c r="H178" s="9" t="s">
        <v>458</v>
      </c>
      <c r="I178" s="2" t="s">
        <v>296</v>
      </c>
      <c r="J178" s="2">
        <v>63331</v>
      </c>
    </row>
    <row r="179" spans="1:10" x14ac:dyDescent="0.3">
      <c r="A179" s="1" t="s">
        <v>262</v>
      </c>
      <c r="B179" s="2" t="s">
        <v>6</v>
      </c>
      <c r="C179" s="1" t="s">
        <v>261</v>
      </c>
      <c r="D179" s="2">
        <f>VLOOKUP(C179,Bölgeler!B:F,4,FALSE)</f>
        <v>4</v>
      </c>
      <c r="E179" s="2" t="str">
        <f>VLOOKUP(C179,Bölgeler!B:F,2,FALSE)</f>
        <v>hayır</v>
      </c>
      <c r="F179" s="2">
        <f>VLOOKUP(C179,Bölgeler!B:F,3,FALSE)</f>
        <v>322664</v>
      </c>
      <c r="G179" s="2">
        <v>2007</v>
      </c>
      <c r="H179" s="9" t="s">
        <v>460</v>
      </c>
      <c r="I179" s="2" t="s">
        <v>297</v>
      </c>
      <c r="J179" s="2">
        <v>16276</v>
      </c>
    </row>
    <row r="180" spans="1:10" x14ac:dyDescent="0.3">
      <c r="A180" s="1" t="s">
        <v>264</v>
      </c>
      <c r="B180" s="2" t="s">
        <v>6</v>
      </c>
      <c r="C180" s="1" t="s">
        <v>263</v>
      </c>
      <c r="D180" s="2">
        <f>VLOOKUP(C180,Bölgeler!B:F,4,FALSE)</f>
        <v>6</v>
      </c>
      <c r="E180" s="2" t="str">
        <f>VLOOKUP(C180,Bölgeler!B:F,2,FALSE)</f>
        <v>hayır</v>
      </c>
      <c r="F180" s="2">
        <f>VLOOKUP(C180,Bölgeler!B:F,3,FALSE)</f>
        <v>205478</v>
      </c>
      <c r="G180" s="2">
        <v>2007</v>
      </c>
      <c r="H180" s="9" t="s">
        <v>541</v>
      </c>
      <c r="I180" s="2" t="s">
        <v>297</v>
      </c>
      <c r="J180" s="2">
        <v>12426</v>
      </c>
    </row>
    <row r="181" spans="1:10" x14ac:dyDescent="0.3">
      <c r="A181" s="1" t="s">
        <v>267</v>
      </c>
      <c r="B181" s="2" t="s">
        <v>6</v>
      </c>
      <c r="C181" s="1" t="s">
        <v>265</v>
      </c>
      <c r="D181" s="2">
        <f>VLOOKUP(C181,Bölgeler!B:F,4,FALSE)</f>
        <v>5</v>
      </c>
      <c r="E181" s="2" t="str">
        <f>VLOOKUP(C181,Bölgeler!B:F,2,FALSE)</f>
        <v>hayır</v>
      </c>
      <c r="F181" s="2">
        <f>VLOOKUP(C181,Bölgeler!B:F,3,FALSE)</f>
        <v>621224</v>
      </c>
      <c r="G181" s="2">
        <v>2018</v>
      </c>
      <c r="H181" s="9" t="s">
        <v>541</v>
      </c>
      <c r="I181" s="2" t="s">
        <v>297</v>
      </c>
      <c r="J181" s="2">
        <v>153</v>
      </c>
    </row>
    <row r="182" spans="1:10" x14ac:dyDescent="0.3">
      <c r="A182" s="1" t="s">
        <v>266</v>
      </c>
      <c r="B182" s="2" t="s">
        <v>6</v>
      </c>
      <c r="C182" s="1" t="s">
        <v>265</v>
      </c>
      <c r="D182" s="2">
        <f>VLOOKUP(C182,Bölgeler!B:F,4,FALSE)</f>
        <v>5</v>
      </c>
      <c r="E182" s="2" t="str">
        <f>VLOOKUP(C182,Bölgeler!B:F,2,FALSE)</f>
        <v>hayır</v>
      </c>
      <c r="F182" s="2">
        <f>VLOOKUP(C182,Bölgeler!B:F,3,FALSE)</f>
        <v>621224</v>
      </c>
      <c r="G182" s="2">
        <v>1974</v>
      </c>
      <c r="H182" s="9" t="s">
        <v>458</v>
      </c>
      <c r="I182" s="2" t="s">
        <v>297</v>
      </c>
      <c r="J182" s="2">
        <v>43789</v>
      </c>
    </row>
    <row r="183" spans="1:10" x14ac:dyDescent="0.3">
      <c r="A183" s="1" t="s">
        <v>120</v>
      </c>
      <c r="B183" s="2" t="s">
        <v>6</v>
      </c>
      <c r="C183" s="1" t="s">
        <v>119</v>
      </c>
      <c r="D183" s="2">
        <f>VLOOKUP(C183,Bölgeler!B:F,4,FALSE)</f>
        <v>1</v>
      </c>
      <c r="E183" s="2" t="str">
        <f>VLOOKUP(C183,Bölgeler!B:F,2,FALSE)</f>
        <v>hayır</v>
      </c>
      <c r="F183" s="2">
        <f>VLOOKUP(C183,Bölgeler!B:F,3,FALSE)</f>
        <v>427324</v>
      </c>
      <c r="G183" s="2">
        <v>1992</v>
      </c>
      <c r="H183" s="9" t="s">
        <v>541</v>
      </c>
      <c r="I183" s="2" t="s">
        <v>297</v>
      </c>
      <c r="J183" s="2">
        <v>38472</v>
      </c>
    </row>
    <row r="184" spans="1:10" x14ac:dyDescent="0.3">
      <c r="A184" s="1" t="s">
        <v>271</v>
      </c>
      <c r="B184" s="2" t="s">
        <v>6</v>
      </c>
      <c r="C184" s="1" t="s">
        <v>270</v>
      </c>
      <c r="D184" s="2">
        <f>VLOOKUP(C184,Bölgeler!B:F,4,FALSE)</f>
        <v>4</v>
      </c>
      <c r="E184" s="2" t="str">
        <f>VLOOKUP(C184,Bölgeler!B:F,2,FALSE)</f>
        <v>hayır</v>
      </c>
      <c r="F184" s="2">
        <f>VLOOKUP(C184,Bölgeler!B:F,3,FALSE)</f>
        <v>483788</v>
      </c>
      <c r="G184" s="2">
        <v>2008</v>
      </c>
      <c r="H184" s="9" t="s">
        <v>541</v>
      </c>
      <c r="I184" s="2" t="s">
        <v>297</v>
      </c>
      <c r="J184" s="2">
        <v>4506</v>
      </c>
    </row>
    <row r="185" spans="1:10" x14ac:dyDescent="0.3">
      <c r="A185" s="1" t="s">
        <v>237</v>
      </c>
      <c r="B185" s="2" t="s">
        <v>6</v>
      </c>
      <c r="C185" s="1" t="s">
        <v>235</v>
      </c>
      <c r="D185" s="2">
        <f>VLOOKUP(C185,Bölgeler!B:F,4,FALSE)</f>
        <v>1</v>
      </c>
      <c r="E185" s="2" t="str">
        <f>VLOOKUP(C185,Bölgeler!B:F,2,FALSE)</f>
        <v>evet</v>
      </c>
      <c r="F185" s="2">
        <f>VLOOKUP(C185,Bölgeler!B:F,3,FALSE)</f>
        <v>1773852</v>
      </c>
      <c r="G185" s="2">
        <v>2018</v>
      </c>
      <c r="H185" s="9" t="s">
        <v>541</v>
      </c>
      <c r="I185" s="2" t="s">
        <v>297</v>
      </c>
      <c r="J185" s="2">
        <v>3555</v>
      </c>
    </row>
    <row r="186" spans="1:10" x14ac:dyDescent="0.3">
      <c r="A186" s="1" t="s">
        <v>39</v>
      </c>
      <c r="B186" s="2" t="s">
        <v>30</v>
      </c>
      <c r="C186" s="1" t="s">
        <v>292</v>
      </c>
      <c r="D186" s="2">
        <f>VLOOKUP(C186,Bölgeler!B:F,4,FALSE)</f>
        <v>5</v>
      </c>
      <c r="E186" s="2" t="str">
        <f>VLOOKUP(C186,Bölgeler!B:F,2,FALSE)</f>
        <v>evet</v>
      </c>
      <c r="F186" s="2">
        <f>VLOOKUP(C186,Bölgeler!B:F,3,FALSE)</f>
        <v>5346518</v>
      </c>
      <c r="G186" s="2">
        <v>2009</v>
      </c>
      <c r="H186" s="9" t="s">
        <v>541</v>
      </c>
      <c r="I186" s="2" t="s">
        <v>297</v>
      </c>
      <c r="J186" s="2">
        <v>4744</v>
      </c>
    </row>
    <row r="187" spans="1:10" x14ac:dyDescent="0.3">
      <c r="A187" s="1" t="s">
        <v>273</v>
      </c>
      <c r="B187" s="2" t="s">
        <v>6</v>
      </c>
      <c r="C187" s="1" t="s">
        <v>272</v>
      </c>
      <c r="D187" s="2">
        <f>VLOOKUP(C187,Bölgeler!B:F,4,FALSE)</f>
        <v>7</v>
      </c>
      <c r="E187" s="2" t="str">
        <f>VLOOKUP(C187,Bölgeler!B:F,2,FALSE)</f>
        <v>evet</v>
      </c>
      <c r="F187" s="2">
        <f>VLOOKUP(C187,Bölgeler!B:F,3,FALSE)</f>
        <v>972875</v>
      </c>
      <c r="G187" s="2">
        <v>2006</v>
      </c>
      <c r="H187" s="9" t="s">
        <v>541</v>
      </c>
      <c r="I187" s="2" t="s">
        <v>297</v>
      </c>
      <c r="J187" s="2">
        <v>26327</v>
      </c>
    </row>
    <row r="188" spans="1:10" x14ac:dyDescent="0.3">
      <c r="A188" s="1" t="s">
        <v>40</v>
      </c>
      <c r="B188" s="2" t="s">
        <v>30</v>
      </c>
      <c r="C188" s="1" t="s">
        <v>292</v>
      </c>
      <c r="D188" s="2">
        <f>VLOOKUP(C188,Bölgeler!B:F,4,FALSE)</f>
        <v>5</v>
      </c>
      <c r="E188" s="2" t="str">
        <f>VLOOKUP(C188,Bölgeler!B:F,2,FALSE)</f>
        <v>evet</v>
      </c>
      <c r="F188" s="2">
        <f>VLOOKUP(C188,Bölgeler!B:F,3,FALSE)</f>
        <v>5346518</v>
      </c>
      <c r="G188" s="2">
        <v>2003</v>
      </c>
      <c r="H188" s="9" t="s">
        <v>457</v>
      </c>
      <c r="I188" s="2" t="s">
        <v>297</v>
      </c>
      <c r="J188" s="2">
        <v>5606</v>
      </c>
    </row>
    <row r="189" spans="1:10" x14ac:dyDescent="0.3">
      <c r="A189" s="1" t="s">
        <v>275</v>
      </c>
      <c r="B189" s="2" t="s">
        <v>6</v>
      </c>
      <c r="C189" s="1" t="s">
        <v>274</v>
      </c>
      <c r="D189" s="2">
        <f>VLOOKUP(C189,Bölgeler!B:F,4,FALSE)</f>
        <v>6</v>
      </c>
      <c r="E189" s="2" t="str">
        <f>VLOOKUP(C189,Bölgeler!B:F,2,FALSE)</f>
        <v>hayır</v>
      </c>
      <c r="F189" s="2">
        <f>VLOOKUP(C189,Bölgeler!B:F,3,FALSE)</f>
        <v>602662</v>
      </c>
      <c r="G189" s="2">
        <v>1992</v>
      </c>
      <c r="H189" s="9" t="s">
        <v>541</v>
      </c>
      <c r="I189" s="2" t="s">
        <v>297</v>
      </c>
      <c r="J189" s="2">
        <v>29172</v>
      </c>
    </row>
    <row r="190" spans="1:10" x14ac:dyDescent="0.3">
      <c r="A190" s="1" t="s">
        <v>239</v>
      </c>
      <c r="B190" s="2" t="s">
        <v>30</v>
      </c>
      <c r="C190" s="1" t="s">
        <v>235</v>
      </c>
      <c r="D190" s="2">
        <f>VLOOKUP(C190,Bölgeler!B:F,4,FALSE)</f>
        <v>1</v>
      </c>
      <c r="E190" s="2" t="str">
        <f>VLOOKUP(C190,Bölgeler!B:F,2,FALSE)</f>
        <v>evet</v>
      </c>
      <c r="F190" s="2">
        <f>VLOOKUP(C190,Bölgeler!B:F,3,FALSE)</f>
        <v>1773852</v>
      </c>
      <c r="G190" s="2">
        <v>2009</v>
      </c>
      <c r="H190" s="9" t="s">
        <v>541</v>
      </c>
      <c r="I190" s="2" t="s">
        <v>297</v>
      </c>
      <c r="J190" s="2">
        <v>3183</v>
      </c>
    </row>
    <row r="191" spans="1:10" x14ac:dyDescent="0.3">
      <c r="A191" s="1" t="s">
        <v>278</v>
      </c>
      <c r="B191" s="2" t="s">
        <v>6</v>
      </c>
      <c r="C191" s="1" t="s">
        <v>276</v>
      </c>
      <c r="D191" s="2">
        <f>VLOOKUP(C191,Bölgeler!B:F,4,FALSE)</f>
        <v>6</v>
      </c>
      <c r="E191" s="2" t="str">
        <f>VLOOKUP(C191,Bölgeler!B:F,2,FALSE)</f>
        <v>evet</v>
      </c>
      <c r="F191" s="2">
        <f>VLOOKUP(C191,Bölgeler!B:F,3,FALSE)</f>
        <v>779379</v>
      </c>
      <c r="G191" s="2">
        <v>2018</v>
      </c>
      <c r="H191" s="9" t="s">
        <v>541</v>
      </c>
      <c r="I191" s="2" t="s">
        <v>297</v>
      </c>
      <c r="J191" s="2">
        <v>11001</v>
      </c>
    </row>
    <row r="192" spans="1:10" x14ac:dyDescent="0.3">
      <c r="A192" s="1" t="s">
        <v>92</v>
      </c>
      <c r="B192" s="2" t="s">
        <v>6</v>
      </c>
      <c r="C192" s="1" t="s">
        <v>91</v>
      </c>
      <c r="D192" s="2">
        <f>VLOOKUP(C192,Bölgeler!B:F,4,FALSE)</f>
        <v>7</v>
      </c>
      <c r="E192" s="2" t="str">
        <f>VLOOKUP(C192,Bölgeler!B:F,2,FALSE)</f>
        <v>hayır</v>
      </c>
      <c r="F192" s="2">
        <f>VLOOKUP(C192,Bölgeler!B:F,3,FALSE)</f>
        <v>401701</v>
      </c>
      <c r="G192" s="2">
        <v>1982</v>
      </c>
      <c r="H192" s="9" t="s">
        <v>460</v>
      </c>
      <c r="I192" s="2" t="s">
        <v>297</v>
      </c>
      <c r="J192" s="2">
        <v>39042</v>
      </c>
    </row>
    <row r="193" spans="1:10" x14ac:dyDescent="0.3">
      <c r="A193" s="1" t="s">
        <v>42</v>
      </c>
      <c r="B193" s="2" t="s">
        <v>30</v>
      </c>
      <c r="C193" s="1" t="s">
        <v>292</v>
      </c>
      <c r="D193" s="2">
        <f>VLOOKUP(C193,Bölgeler!B:F,4,FALSE)</f>
        <v>5</v>
      </c>
      <c r="E193" s="2" t="str">
        <f>VLOOKUP(C193,Bölgeler!B:F,2,FALSE)</f>
        <v>evet</v>
      </c>
      <c r="F193" s="2">
        <f>VLOOKUP(C193,Bölgeler!B:F,3,FALSE)</f>
        <v>5346518</v>
      </c>
      <c r="G193" s="2">
        <v>2011</v>
      </c>
      <c r="H193" s="9" t="s">
        <v>541</v>
      </c>
      <c r="I193" s="2" t="s">
        <v>297</v>
      </c>
      <c r="J193" s="2">
        <v>3032</v>
      </c>
    </row>
    <row r="194" spans="1:10" x14ac:dyDescent="0.3">
      <c r="A194" s="1" t="s">
        <v>133</v>
      </c>
      <c r="B194" s="2" t="s">
        <v>6</v>
      </c>
      <c r="C194" s="1" t="s">
        <v>122</v>
      </c>
      <c r="D194" s="2">
        <f>VLOOKUP(C194,Bölgeler!B:F,4,FALSE)</f>
        <v>7</v>
      </c>
      <c r="E194" s="2" t="str">
        <f>VLOOKUP(C194,Bölgeler!B:F,2,FALSE)</f>
        <v>evet</v>
      </c>
      <c r="F194" s="2">
        <f>VLOOKUP(C194,Bölgeler!B:F,3,FALSE)</f>
        <v>14804116</v>
      </c>
      <c r="G194" s="2">
        <v>2010</v>
      </c>
      <c r="H194" s="9" t="s">
        <v>541</v>
      </c>
      <c r="I194" s="2" t="s">
        <v>297</v>
      </c>
      <c r="J194" s="2">
        <v>3560</v>
      </c>
    </row>
    <row r="195" spans="1:10" x14ac:dyDescent="0.3">
      <c r="A195" s="1" t="s">
        <v>132</v>
      </c>
      <c r="B195" s="2" t="s">
        <v>6</v>
      </c>
      <c r="C195" s="1" t="s">
        <v>122</v>
      </c>
      <c r="D195" s="2">
        <f>VLOOKUP(C195,Bölgeler!B:F,4,FALSE)</f>
        <v>7</v>
      </c>
      <c r="E195" s="2" t="str">
        <f>VLOOKUP(C195,Bölgeler!B:F,2,FALSE)</f>
        <v>evet</v>
      </c>
      <c r="F195" s="2">
        <f>VLOOKUP(C195,Bölgeler!B:F,3,FALSE)</f>
        <v>14804116</v>
      </c>
      <c r="G195" s="2">
        <v>2015</v>
      </c>
      <c r="H195" s="9" t="s">
        <v>541</v>
      </c>
      <c r="I195" s="2" t="s">
        <v>297</v>
      </c>
      <c r="J195" s="2" t="s">
        <v>298</v>
      </c>
    </row>
    <row r="196" spans="1:10" x14ac:dyDescent="0.3">
      <c r="A196" s="1" t="s">
        <v>134</v>
      </c>
      <c r="B196" s="2" t="s">
        <v>6</v>
      </c>
      <c r="C196" s="1" t="s">
        <v>122</v>
      </c>
      <c r="D196" s="2">
        <f>VLOOKUP(C196,Bölgeler!B:F,4,FALSE)</f>
        <v>7</v>
      </c>
      <c r="E196" s="2" t="str">
        <f>VLOOKUP(C196,Bölgeler!B:F,2,FALSE)</f>
        <v>evet</v>
      </c>
      <c r="F196" s="2">
        <f>VLOOKUP(C196,Bölgeler!B:F,3,FALSE)</f>
        <v>14804116</v>
      </c>
      <c r="G196" s="2">
        <v>2017</v>
      </c>
      <c r="H196" s="9" t="s">
        <v>541</v>
      </c>
      <c r="I196" s="2" t="s">
        <v>297</v>
      </c>
      <c r="J196" s="2" t="s">
        <v>298</v>
      </c>
    </row>
    <row r="197" spans="1:10" x14ac:dyDescent="0.3">
      <c r="A197" s="1" t="s">
        <v>41</v>
      </c>
      <c r="B197" s="2" t="s">
        <v>30</v>
      </c>
      <c r="C197" s="1" t="s">
        <v>292</v>
      </c>
      <c r="D197" s="2">
        <f>VLOOKUP(C197,Bölgeler!B:F,4,FALSE)</f>
        <v>5</v>
      </c>
      <c r="E197" s="2" t="str">
        <f>VLOOKUP(C197,Bölgeler!B:F,2,FALSE)</f>
        <v>evet</v>
      </c>
      <c r="F197" s="2">
        <f>VLOOKUP(C197,Bölgeler!B:F,3,FALSE)</f>
        <v>5346518</v>
      </c>
      <c r="G197" s="2">
        <v>1999</v>
      </c>
      <c r="H197" s="9" t="s">
        <v>541</v>
      </c>
      <c r="I197" s="2" t="s">
        <v>297</v>
      </c>
      <c r="J197" s="2">
        <v>4478</v>
      </c>
    </row>
    <row r="198" spans="1:10" x14ac:dyDescent="0.3">
      <c r="A198" s="1" t="s">
        <v>283</v>
      </c>
      <c r="B198" s="2" t="s">
        <v>6</v>
      </c>
      <c r="C198" s="1" t="s">
        <v>282</v>
      </c>
      <c r="D198" s="2">
        <f>VLOOKUP(C198,Bölgeler!B:F,4,FALSE)</f>
        <v>3</v>
      </c>
      <c r="E198" s="2" t="str">
        <f>VLOOKUP(C198,Bölgeler!B:F,2,FALSE)</f>
        <v>hayır</v>
      </c>
      <c r="F198" s="2">
        <f>VLOOKUP(C198,Bölgeler!B:F,3,FALSE)</f>
        <v>358736</v>
      </c>
      <c r="G198" s="2">
        <v>2006</v>
      </c>
      <c r="H198" s="9" t="s">
        <v>541</v>
      </c>
      <c r="I198" s="2" t="s">
        <v>297</v>
      </c>
      <c r="J198" s="2">
        <v>25792</v>
      </c>
    </row>
    <row r="199" spans="1:10" x14ac:dyDescent="0.3">
      <c r="A199" s="1" t="s">
        <v>178</v>
      </c>
      <c r="B199" s="2" t="s">
        <v>30</v>
      </c>
      <c r="C199" s="1" t="s">
        <v>122</v>
      </c>
      <c r="D199" s="2">
        <f>VLOOKUP(C199,Bölgeler!B:F,4,FALSE)</f>
        <v>7</v>
      </c>
      <c r="E199" s="2" t="str">
        <f>VLOOKUP(C199,Bölgeler!B:F,2,FALSE)</f>
        <v>evet</v>
      </c>
      <c r="F199" s="2">
        <f>VLOOKUP(C199,Bölgeler!B:F,3,FALSE)</f>
        <v>14804116</v>
      </c>
      <c r="G199" s="2">
        <v>2011</v>
      </c>
      <c r="H199" s="9" t="s">
        <v>541</v>
      </c>
      <c r="I199" s="2" t="s">
        <v>297</v>
      </c>
      <c r="J199" s="2">
        <v>23319</v>
      </c>
    </row>
    <row r="200" spans="1:10" x14ac:dyDescent="0.3">
      <c r="A200" s="1" t="s">
        <v>285</v>
      </c>
      <c r="B200" s="2" t="s">
        <v>6</v>
      </c>
      <c r="C200" s="1" t="s">
        <v>284</v>
      </c>
      <c r="D200" s="2">
        <f>VLOOKUP(C200,Bölgeler!B:F,4,FALSE)</f>
        <v>2</v>
      </c>
      <c r="E200" s="2" t="str">
        <f>VLOOKUP(C200,Bölgeler!B:F,2,FALSE)</f>
        <v>evet</v>
      </c>
      <c r="F200" s="2">
        <f>VLOOKUP(C200,Bölgeler!B:F,3,FALSE)</f>
        <v>1100190</v>
      </c>
      <c r="G200" s="2">
        <v>1982</v>
      </c>
      <c r="H200" s="9" t="s">
        <v>541</v>
      </c>
      <c r="I200" s="2" t="s">
        <v>297</v>
      </c>
      <c r="J200" s="2">
        <v>25655</v>
      </c>
    </row>
    <row r="201" spans="1:10" x14ac:dyDescent="0.3">
      <c r="A201" s="1" t="s">
        <v>287</v>
      </c>
      <c r="B201" s="2" t="s">
        <v>6</v>
      </c>
      <c r="C201" s="1" t="s">
        <v>286</v>
      </c>
      <c r="D201" s="2">
        <f>VLOOKUP(C201,Bölgeler!B:F,4,FALSE)</f>
        <v>7</v>
      </c>
      <c r="E201" s="2" t="str">
        <f>VLOOKUP(C201,Bölgeler!B:F,2,FALSE)</f>
        <v>hayır</v>
      </c>
      <c r="F201" s="2">
        <f>VLOOKUP(C201,Bölgeler!B:F,3,FALSE)</f>
        <v>241665</v>
      </c>
      <c r="G201" s="2">
        <v>2008</v>
      </c>
      <c r="H201" s="9" t="s">
        <v>541</v>
      </c>
      <c r="I201" s="2" t="s">
        <v>296</v>
      </c>
      <c r="J201" s="2">
        <v>15243</v>
      </c>
    </row>
    <row r="202" spans="1:10" x14ac:dyDescent="0.3">
      <c r="A202" s="1" t="s">
        <v>190</v>
      </c>
      <c r="B202" s="2" t="s">
        <v>30</v>
      </c>
      <c r="C202" s="1" t="s">
        <v>181</v>
      </c>
      <c r="D202" s="2">
        <f>VLOOKUP(C202,Bölgeler!B:F,4,FALSE)</f>
        <v>3</v>
      </c>
      <c r="E202" s="2" t="str">
        <f>VLOOKUP(C202,Bölgeler!B:F,2,FALSE)</f>
        <v>evet</v>
      </c>
      <c r="F202" s="2">
        <f>VLOOKUP(C202,Bölgeler!B:F,3,FALSE)</f>
        <v>4223545</v>
      </c>
      <c r="G202" s="2">
        <v>2001</v>
      </c>
      <c r="H202" s="9" t="s">
        <v>541</v>
      </c>
      <c r="I202" s="2" t="s">
        <v>297</v>
      </c>
      <c r="J202" s="2">
        <v>8678</v>
      </c>
    </row>
    <row r="203" spans="1:10" x14ac:dyDescent="0.3">
      <c r="A203" s="1" t="s">
        <v>179</v>
      </c>
      <c r="B203" s="2" t="s">
        <v>30</v>
      </c>
      <c r="C203" s="1" t="s">
        <v>122</v>
      </c>
      <c r="D203" s="2">
        <f>VLOOKUP(C203,Bölgeler!B:F,4,FALSE)</f>
        <v>7</v>
      </c>
      <c r="E203" s="2" t="str">
        <f>VLOOKUP(C203,Bölgeler!B:F,2,FALSE)</f>
        <v>evet</v>
      </c>
      <c r="F203" s="2">
        <f>VLOOKUP(C203,Bölgeler!B:F,3,FALSE)</f>
        <v>14804116</v>
      </c>
      <c r="G203" s="2">
        <v>1996</v>
      </c>
      <c r="H203" s="9" t="s">
        <v>457</v>
      </c>
      <c r="I203" s="2" t="s">
        <v>297</v>
      </c>
      <c r="J203" s="2">
        <v>20867</v>
      </c>
    </row>
    <row r="204" spans="1:10" x14ac:dyDescent="0.3">
      <c r="A204" s="1" t="s">
        <v>180</v>
      </c>
      <c r="B204" s="2" t="s">
        <v>30</v>
      </c>
      <c r="C204" s="1" t="s">
        <v>122</v>
      </c>
      <c r="D204" s="2">
        <f>VLOOKUP(C204,Bölgeler!B:F,4,FALSE)</f>
        <v>7</v>
      </c>
      <c r="E204" s="2" t="str">
        <f>VLOOKUP(C204,Bölgeler!B:F,2,FALSE)</f>
        <v>evet</v>
      </c>
      <c r="F204" s="2">
        <f>VLOOKUP(C204,Bölgeler!B:F,3,FALSE)</f>
        <v>14804116</v>
      </c>
      <c r="G204" s="2">
        <v>2009</v>
      </c>
      <c r="H204" s="9" t="s">
        <v>541</v>
      </c>
      <c r="I204" s="2" t="s">
        <v>297</v>
      </c>
      <c r="J204" s="2" t="s">
        <v>298</v>
      </c>
    </row>
    <row r="205" spans="1:10" x14ac:dyDescent="0.3">
      <c r="A205" s="1" t="s">
        <v>136</v>
      </c>
      <c r="B205" s="2" t="s">
        <v>6</v>
      </c>
      <c r="C205" s="1" t="s">
        <v>122</v>
      </c>
      <c r="D205" s="2">
        <f>VLOOKUP(C205,Bölgeler!B:F,4,FALSE)</f>
        <v>7</v>
      </c>
      <c r="E205" s="2" t="str">
        <f>VLOOKUP(C205,Bölgeler!B:F,2,FALSE)</f>
        <v>evet</v>
      </c>
      <c r="F205" s="2">
        <f>VLOOKUP(C205,Bölgeler!B:F,3,FALSE)</f>
        <v>14804116</v>
      </c>
      <c r="G205" s="2">
        <v>1911</v>
      </c>
      <c r="H205" s="9" t="s">
        <v>458</v>
      </c>
      <c r="I205" s="2" t="s">
        <v>296</v>
      </c>
      <c r="J205" s="2">
        <v>37876</v>
      </c>
    </row>
    <row r="206" spans="1:10" x14ac:dyDescent="0.3">
      <c r="A206" s="1" t="s">
        <v>289</v>
      </c>
      <c r="B206" s="2" t="s">
        <v>6</v>
      </c>
      <c r="C206" s="1" t="s">
        <v>288</v>
      </c>
      <c r="D206" s="2">
        <f>VLOOKUP(C206,Bölgeler!B:F,4,FALSE)</f>
        <v>5</v>
      </c>
      <c r="E206" s="2" t="str">
        <f>VLOOKUP(C206,Bölgeler!B:F,2,FALSE)</f>
        <v>hayır</v>
      </c>
      <c r="F206" s="2">
        <f>VLOOKUP(C206,Bölgeler!B:F,3,FALSE)</f>
        <v>421041</v>
      </c>
      <c r="G206" s="2">
        <v>2006</v>
      </c>
      <c r="H206" s="9" t="s">
        <v>541</v>
      </c>
      <c r="I206" s="2" t="s">
        <v>297</v>
      </c>
      <c r="J206" s="2">
        <v>21744</v>
      </c>
    </row>
    <row r="207" spans="1:10" x14ac:dyDescent="0.3">
      <c r="A207" s="1" t="s">
        <v>43</v>
      </c>
      <c r="B207" s="2" t="s">
        <v>30</v>
      </c>
      <c r="C207" s="1" t="s">
        <v>292</v>
      </c>
      <c r="D207" s="2">
        <f>VLOOKUP(C207,Bölgeler!B:F,4,FALSE)</f>
        <v>5</v>
      </c>
      <c r="E207" s="2" t="str">
        <f>VLOOKUP(C207,Bölgeler!B:F,2,FALSE)</f>
        <v>evet</v>
      </c>
      <c r="F207" s="2">
        <f>VLOOKUP(C207,Bölgeler!B:F,3,FALSE)</f>
        <v>5346518</v>
      </c>
      <c r="G207" s="2">
        <v>2013</v>
      </c>
      <c r="H207" s="9" t="s">
        <v>541</v>
      </c>
      <c r="I207" s="2" t="s">
        <v>297</v>
      </c>
      <c r="J207" s="2">
        <v>1958</v>
      </c>
    </row>
    <row r="208" spans="1:10" x14ac:dyDescent="0.3">
      <c r="A208" s="1" t="s">
        <v>291</v>
      </c>
      <c r="B208" s="2" t="s">
        <v>6</v>
      </c>
      <c r="C208" s="1" t="s">
        <v>290</v>
      </c>
      <c r="D208" s="2">
        <f>VLOOKUP(C208,Bölgeler!B:F,4,FALSE)</f>
        <v>6</v>
      </c>
      <c r="E208" s="2" t="str">
        <f>VLOOKUP(C208,Bölgeler!B:F,2,FALSE)</f>
        <v>hayır</v>
      </c>
      <c r="F208" s="2">
        <f>VLOOKUP(C208,Bölgeler!B:F,3,FALSE)</f>
        <v>597524</v>
      </c>
      <c r="G208" s="2">
        <v>1992</v>
      </c>
      <c r="H208" s="9" t="s">
        <v>460</v>
      </c>
      <c r="I208" s="2" t="s">
        <v>297</v>
      </c>
      <c r="J208" s="2">
        <v>31818</v>
      </c>
    </row>
  </sheetData>
  <autoFilter ref="A1:J208" xr:uid="{1B347892-C1A9-4899-A1DB-41B12BAE6940}"/>
  <pageMargins left="0.7" right="0.7" top="0.75" bottom="0.75" header="0.3" footer="0.3"/>
  <pageSetup paperSize="9" orientation="portrait" r:id="rId1"/>
  <headerFooter differentOddEven="1" differentFirst="1">
    <oddHeader>&amp;L&amp;"trebuchet ms,Bold"&amp;11&amp;UTASNİF DIŞI</oddHeader>
    <oddFooter>&amp;L&amp;"trebuchet ms,Bold"&amp;11&amp;UTASNİF DIŞI</oddFooter>
    <evenHeader>&amp;L&amp;"trebuchet ms,Bold"&amp;11&amp;UTASNİF DIŞI</evenHeader>
    <evenFooter>&amp;L&amp;"trebuchet ms,Bold"&amp;11&amp;UTASNİF DIŞI</evenFooter>
    <firstHeader>&amp;L&amp;"trebuchet ms,Bold"&amp;11&amp;UTASNİF DIŞI</firstHeader>
    <firstFooter>&amp;L&amp;"trebuchet ms,Bold"&amp;11&amp;UTASNİF DIŞI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FF82-C487-49D6-8551-8D3F94D53CFC}">
  <dimension ref="A1:D189"/>
  <sheetViews>
    <sheetView topLeftCell="A44" workbookViewId="0">
      <selection activeCell="B42" sqref="B42"/>
    </sheetView>
  </sheetViews>
  <sheetFormatPr defaultColWidth="22.33203125" defaultRowHeight="14.4" x14ac:dyDescent="0.3"/>
  <cols>
    <col min="1" max="1" width="5.33203125" bestFit="1" customWidth="1"/>
    <col min="2" max="2" width="47.21875" bestFit="1" customWidth="1"/>
    <col min="3" max="3" width="5.88671875" bestFit="1" customWidth="1"/>
    <col min="4" max="4" width="22.33203125" style="8"/>
  </cols>
  <sheetData>
    <row r="1" spans="1:4" ht="15" thickBot="1" x14ac:dyDescent="0.35">
      <c r="A1" s="4" t="s">
        <v>317</v>
      </c>
      <c r="B1" s="4" t="s">
        <v>318</v>
      </c>
      <c r="C1" s="5" t="s">
        <v>319</v>
      </c>
    </row>
    <row r="2" spans="1:4" ht="15" thickBot="1" x14ac:dyDescent="0.35">
      <c r="A2" s="6">
        <v>1</v>
      </c>
      <c r="B2" s="11" t="s">
        <v>536</v>
      </c>
      <c r="C2" s="7" t="s">
        <v>320</v>
      </c>
      <c r="D2" s="8" t="s">
        <v>459</v>
      </c>
    </row>
    <row r="3" spans="1:4" ht="15" thickBot="1" x14ac:dyDescent="0.35">
      <c r="A3" s="6">
        <v>2</v>
      </c>
      <c r="B3" s="11" t="s">
        <v>540</v>
      </c>
      <c r="C3" s="7" t="s">
        <v>321</v>
      </c>
      <c r="D3" s="8" t="s">
        <v>459</v>
      </c>
    </row>
    <row r="4" spans="1:4" ht="15" thickBot="1" x14ac:dyDescent="0.35">
      <c r="A4" s="6">
        <v>3</v>
      </c>
      <c r="B4" s="11" t="s">
        <v>465</v>
      </c>
      <c r="C4" s="7" t="s">
        <v>322</v>
      </c>
      <c r="D4" s="8" t="s">
        <v>459</v>
      </c>
    </row>
    <row r="5" spans="1:4" ht="15" thickBot="1" x14ac:dyDescent="0.35">
      <c r="A5" s="6">
        <v>4</v>
      </c>
      <c r="B5" s="11" t="s">
        <v>466</v>
      </c>
      <c r="C5" s="7" t="s">
        <v>323</v>
      </c>
      <c r="D5" s="8" t="s">
        <v>459</v>
      </c>
    </row>
    <row r="6" spans="1:4" ht="15" thickBot="1" x14ac:dyDescent="0.35">
      <c r="A6" s="6">
        <v>5</v>
      </c>
      <c r="B6" s="11" t="s">
        <v>176</v>
      </c>
      <c r="C6" s="7" t="s">
        <v>324</v>
      </c>
      <c r="D6" s="8" t="s">
        <v>459</v>
      </c>
    </row>
    <row r="7" spans="1:4" ht="15" thickBot="1" x14ac:dyDescent="0.35">
      <c r="A7" s="6">
        <v>6</v>
      </c>
      <c r="B7" s="11" t="s">
        <v>170</v>
      </c>
      <c r="C7" s="7" t="s">
        <v>325</v>
      </c>
      <c r="D7" s="8" t="s">
        <v>459</v>
      </c>
    </row>
    <row r="8" spans="1:4" ht="15" thickBot="1" x14ac:dyDescent="0.35">
      <c r="A8" s="6">
        <v>7</v>
      </c>
      <c r="B8" s="11" t="s">
        <v>453</v>
      </c>
      <c r="C8" s="7" t="s">
        <v>326</v>
      </c>
      <c r="D8" s="8" t="s">
        <v>459</v>
      </c>
    </row>
    <row r="9" spans="1:4" ht="15" thickBot="1" x14ac:dyDescent="0.35">
      <c r="A9" s="6">
        <v>8</v>
      </c>
      <c r="B9" s="11" t="s">
        <v>467</v>
      </c>
      <c r="C9" s="7" t="s">
        <v>327</v>
      </c>
      <c r="D9" s="8" t="s">
        <v>459</v>
      </c>
    </row>
    <row r="10" spans="1:4" ht="15" thickBot="1" x14ac:dyDescent="0.35">
      <c r="A10" s="6">
        <v>9</v>
      </c>
      <c r="B10" s="11" t="s">
        <v>468</v>
      </c>
      <c r="C10" s="7" t="s">
        <v>328</v>
      </c>
      <c r="D10" s="8" t="s">
        <v>459</v>
      </c>
    </row>
    <row r="11" spans="1:4" ht="15" thickBot="1" x14ac:dyDescent="0.35">
      <c r="A11" s="6">
        <v>10</v>
      </c>
      <c r="B11" s="11" t="s">
        <v>329</v>
      </c>
      <c r="C11" s="7" t="s">
        <v>330</v>
      </c>
      <c r="D11" s="8" t="s">
        <v>459</v>
      </c>
    </row>
    <row r="12" spans="1:4" ht="15" thickBot="1" x14ac:dyDescent="0.35">
      <c r="A12" s="6">
        <v>11</v>
      </c>
      <c r="B12" s="11" t="s">
        <v>530</v>
      </c>
      <c r="C12" s="7" t="s">
        <v>331</v>
      </c>
      <c r="D12" s="8" t="s">
        <v>457</v>
      </c>
    </row>
    <row r="13" spans="1:4" ht="15" thickBot="1" x14ac:dyDescent="0.35">
      <c r="A13" s="6">
        <v>12</v>
      </c>
      <c r="B13" s="11" t="s">
        <v>537</v>
      </c>
      <c r="C13" s="7" t="s">
        <v>332</v>
      </c>
      <c r="D13" s="8" t="s">
        <v>457</v>
      </c>
    </row>
    <row r="14" spans="1:4" ht="15" thickBot="1" x14ac:dyDescent="0.35">
      <c r="A14" s="6">
        <v>13</v>
      </c>
      <c r="B14" s="11" t="s">
        <v>469</v>
      </c>
      <c r="C14" s="7" t="s">
        <v>333</v>
      </c>
      <c r="D14" s="8" t="s">
        <v>457</v>
      </c>
    </row>
    <row r="15" spans="1:4" ht="15" thickBot="1" x14ac:dyDescent="0.35">
      <c r="A15" s="6">
        <v>14</v>
      </c>
      <c r="B15" s="11" t="s">
        <v>531</v>
      </c>
      <c r="C15" s="7" t="s">
        <v>334</v>
      </c>
      <c r="D15" s="8" t="s">
        <v>457</v>
      </c>
    </row>
    <row r="16" spans="1:4" ht="15" thickBot="1" x14ac:dyDescent="0.35">
      <c r="A16" s="6">
        <v>15</v>
      </c>
      <c r="B16" s="11" t="s">
        <v>470</v>
      </c>
      <c r="C16" s="7" t="s">
        <v>335</v>
      </c>
      <c r="D16" s="8" t="s">
        <v>457</v>
      </c>
    </row>
    <row r="17" spans="1:4" ht="15" thickBot="1" x14ac:dyDescent="0.35">
      <c r="A17" s="6">
        <v>16</v>
      </c>
      <c r="B17" s="11" t="s">
        <v>471</v>
      </c>
      <c r="C17" s="7" t="s">
        <v>336</v>
      </c>
      <c r="D17" s="8" t="s">
        <v>457</v>
      </c>
    </row>
    <row r="18" spans="1:4" ht="15" thickBot="1" x14ac:dyDescent="0.35">
      <c r="A18" s="6">
        <v>17</v>
      </c>
      <c r="B18" s="11" t="s">
        <v>472</v>
      </c>
      <c r="C18" s="7" t="s">
        <v>337</v>
      </c>
      <c r="D18" s="8" t="s">
        <v>457</v>
      </c>
    </row>
    <row r="19" spans="1:4" ht="15" thickBot="1" x14ac:dyDescent="0.35">
      <c r="A19" s="6">
        <v>18</v>
      </c>
      <c r="B19" s="11" t="s">
        <v>516</v>
      </c>
      <c r="C19" s="7" t="s">
        <v>338</v>
      </c>
      <c r="D19" s="8" t="s">
        <v>457</v>
      </c>
    </row>
    <row r="20" spans="1:4" ht="15" thickBot="1" x14ac:dyDescent="0.35">
      <c r="A20" s="6">
        <v>19</v>
      </c>
      <c r="B20" s="11" t="s">
        <v>538</v>
      </c>
      <c r="C20" s="7" t="s">
        <v>339</v>
      </c>
      <c r="D20" s="8" t="s">
        <v>457</v>
      </c>
    </row>
    <row r="21" spans="1:4" ht="15" thickBot="1" x14ac:dyDescent="0.35">
      <c r="A21" s="6">
        <v>20</v>
      </c>
      <c r="B21" s="11" t="s">
        <v>473</v>
      </c>
      <c r="C21" s="7" t="s">
        <v>339</v>
      </c>
      <c r="D21" s="8" t="s">
        <v>457</v>
      </c>
    </row>
    <row r="22" spans="1:4" ht="15" thickBot="1" x14ac:dyDescent="0.35">
      <c r="A22" s="6">
        <v>21</v>
      </c>
      <c r="B22" s="11" t="s">
        <v>474</v>
      </c>
      <c r="C22" s="7" t="s">
        <v>340</v>
      </c>
      <c r="D22" s="8" t="s">
        <v>458</v>
      </c>
    </row>
    <row r="23" spans="1:4" ht="15" thickBot="1" x14ac:dyDescent="0.35">
      <c r="A23" s="6">
        <v>22</v>
      </c>
      <c r="B23" s="11" t="s">
        <v>475</v>
      </c>
      <c r="C23" s="7" t="s">
        <v>340</v>
      </c>
      <c r="D23" s="8" t="s">
        <v>458</v>
      </c>
    </row>
    <row r="24" spans="1:4" ht="15" thickBot="1" x14ac:dyDescent="0.35">
      <c r="A24" s="6">
        <v>23</v>
      </c>
      <c r="B24" s="11" t="s">
        <v>476</v>
      </c>
      <c r="C24" s="7" t="s">
        <v>341</v>
      </c>
      <c r="D24" s="8" t="s">
        <v>458</v>
      </c>
    </row>
    <row r="25" spans="1:4" ht="15" thickBot="1" x14ac:dyDescent="0.35">
      <c r="A25" s="6">
        <v>24</v>
      </c>
      <c r="B25" s="11" t="s">
        <v>477</v>
      </c>
      <c r="C25" s="7" t="s">
        <v>341</v>
      </c>
      <c r="D25" s="8" t="s">
        <v>458</v>
      </c>
    </row>
    <row r="26" spans="1:4" ht="15" thickBot="1" x14ac:dyDescent="0.35">
      <c r="A26" s="6">
        <v>25</v>
      </c>
      <c r="B26" s="11" t="s">
        <v>478</v>
      </c>
      <c r="C26" s="7" t="s">
        <v>342</v>
      </c>
      <c r="D26" s="8" t="s">
        <v>458</v>
      </c>
    </row>
    <row r="27" spans="1:4" ht="15" thickBot="1" x14ac:dyDescent="0.35">
      <c r="A27" s="6">
        <v>26</v>
      </c>
      <c r="B27" s="11" t="s">
        <v>154</v>
      </c>
      <c r="C27" s="7" t="s">
        <v>343</v>
      </c>
      <c r="D27" s="8" t="s">
        <v>458</v>
      </c>
    </row>
    <row r="28" spans="1:4" ht="15" thickBot="1" x14ac:dyDescent="0.35">
      <c r="A28" s="6">
        <v>27</v>
      </c>
      <c r="B28" s="11" t="s">
        <v>479</v>
      </c>
      <c r="C28" s="7" t="s">
        <v>344</v>
      </c>
      <c r="D28" s="8" t="s">
        <v>458</v>
      </c>
    </row>
    <row r="29" spans="1:4" ht="15" thickBot="1" x14ac:dyDescent="0.35">
      <c r="A29" s="6">
        <v>29</v>
      </c>
      <c r="B29" s="11" t="s">
        <v>480</v>
      </c>
      <c r="C29" s="7" t="s">
        <v>344</v>
      </c>
      <c r="D29" s="8" t="s">
        <v>458</v>
      </c>
    </row>
    <row r="30" spans="1:4" ht="15" thickBot="1" x14ac:dyDescent="0.35">
      <c r="A30" s="6">
        <v>31</v>
      </c>
      <c r="B30" s="11" t="s">
        <v>481</v>
      </c>
      <c r="C30" s="7" t="s">
        <v>345</v>
      </c>
      <c r="D30" s="8" t="s">
        <v>458</v>
      </c>
    </row>
    <row r="31" spans="1:4" ht="15" thickBot="1" x14ac:dyDescent="0.35">
      <c r="A31" s="6">
        <v>32</v>
      </c>
      <c r="B31" s="11" t="s">
        <v>532</v>
      </c>
      <c r="C31" s="7" t="s">
        <v>346</v>
      </c>
      <c r="D31" s="8" t="s">
        <v>458</v>
      </c>
    </row>
    <row r="32" spans="1:4" ht="15" thickBot="1" x14ac:dyDescent="0.35">
      <c r="A32" s="6">
        <v>33</v>
      </c>
      <c r="B32" s="11" t="s">
        <v>482</v>
      </c>
      <c r="C32" s="7" t="s">
        <v>347</v>
      </c>
      <c r="D32" s="8" t="s">
        <v>458</v>
      </c>
    </row>
    <row r="33" spans="1:4" ht="15" thickBot="1" x14ac:dyDescent="0.35">
      <c r="A33" s="6">
        <v>34</v>
      </c>
      <c r="B33" s="11" t="s">
        <v>533</v>
      </c>
      <c r="C33" s="7" t="s">
        <v>348</v>
      </c>
      <c r="D33" s="8" t="s">
        <v>458</v>
      </c>
    </row>
    <row r="34" spans="1:4" ht="15" thickBot="1" x14ac:dyDescent="0.35">
      <c r="A34" s="6">
        <v>35</v>
      </c>
      <c r="B34" s="11" t="s">
        <v>483</v>
      </c>
      <c r="C34" s="7" t="s">
        <v>349</v>
      </c>
      <c r="D34" s="8" t="s">
        <v>458</v>
      </c>
    </row>
    <row r="35" spans="1:4" ht="15" thickBot="1" x14ac:dyDescent="0.35">
      <c r="A35" s="6">
        <v>36</v>
      </c>
      <c r="B35" s="11" t="s">
        <v>484</v>
      </c>
      <c r="C35" s="7" t="s">
        <v>350</v>
      </c>
      <c r="D35" s="8" t="s">
        <v>458</v>
      </c>
    </row>
    <row r="36" spans="1:4" ht="15" thickBot="1" x14ac:dyDescent="0.35">
      <c r="A36" s="6">
        <v>37</v>
      </c>
      <c r="B36" s="11" t="s">
        <v>485</v>
      </c>
      <c r="C36" s="7" t="s">
        <v>351</v>
      </c>
      <c r="D36" s="8" t="s">
        <v>458</v>
      </c>
    </row>
    <row r="37" spans="1:4" ht="15" thickBot="1" x14ac:dyDescent="0.35">
      <c r="A37" s="6">
        <v>38</v>
      </c>
      <c r="B37" s="11" t="s">
        <v>486</v>
      </c>
      <c r="C37" s="7" t="s">
        <v>351</v>
      </c>
      <c r="D37" s="8" t="s">
        <v>458</v>
      </c>
    </row>
    <row r="38" spans="1:4" ht="15" thickBot="1" x14ac:dyDescent="0.35">
      <c r="A38" s="6">
        <v>39</v>
      </c>
      <c r="B38" s="11" t="s">
        <v>487</v>
      </c>
      <c r="C38" s="7" t="s">
        <v>352</v>
      </c>
      <c r="D38" s="8" t="s">
        <v>458</v>
      </c>
    </row>
    <row r="39" spans="1:4" ht="15" thickBot="1" x14ac:dyDescent="0.35">
      <c r="A39" s="6">
        <v>40</v>
      </c>
      <c r="B39" s="11" t="s">
        <v>488</v>
      </c>
      <c r="C39" s="7" t="s">
        <v>353</v>
      </c>
      <c r="D39" s="8" t="s">
        <v>458</v>
      </c>
    </row>
    <row r="40" spans="1:4" ht="15" thickBot="1" x14ac:dyDescent="0.35">
      <c r="A40" s="6">
        <v>41</v>
      </c>
      <c r="B40" s="6" t="s">
        <v>429</v>
      </c>
      <c r="C40" s="7" t="s">
        <v>353</v>
      </c>
      <c r="D40" s="8" t="s">
        <v>458</v>
      </c>
    </row>
    <row r="41" spans="1:4" ht="15" thickBot="1" x14ac:dyDescent="0.35">
      <c r="A41" s="6">
        <v>42</v>
      </c>
      <c r="B41" s="6" t="s">
        <v>489</v>
      </c>
      <c r="C41" s="7" t="s">
        <v>354</v>
      </c>
      <c r="D41" s="8" t="s">
        <v>458</v>
      </c>
    </row>
    <row r="42" spans="1:4" ht="15" thickBot="1" x14ac:dyDescent="0.35">
      <c r="A42" s="6">
        <v>43</v>
      </c>
      <c r="B42" s="6" t="s">
        <v>490</v>
      </c>
      <c r="C42" s="7" t="s">
        <v>355</v>
      </c>
      <c r="D42" s="8" t="s">
        <v>460</v>
      </c>
    </row>
    <row r="43" spans="1:4" ht="15" thickBot="1" x14ac:dyDescent="0.35">
      <c r="A43" s="6">
        <v>44</v>
      </c>
      <c r="B43" s="6" t="s">
        <v>418</v>
      </c>
      <c r="C43" s="7" t="s">
        <v>355</v>
      </c>
      <c r="D43" s="8" t="s">
        <v>460</v>
      </c>
    </row>
    <row r="44" spans="1:4" ht="15" thickBot="1" x14ac:dyDescent="0.35">
      <c r="A44" s="6">
        <v>45</v>
      </c>
      <c r="B44" s="6" t="s">
        <v>491</v>
      </c>
      <c r="C44" s="7" t="s">
        <v>356</v>
      </c>
      <c r="D44" s="8" t="s">
        <v>460</v>
      </c>
    </row>
    <row r="45" spans="1:4" ht="15" thickBot="1" x14ac:dyDescent="0.35">
      <c r="A45" s="6">
        <v>46</v>
      </c>
      <c r="B45" s="6" t="s">
        <v>492</v>
      </c>
      <c r="C45" s="7" t="s">
        <v>357</v>
      </c>
      <c r="D45" s="8" t="s">
        <v>460</v>
      </c>
    </row>
    <row r="46" spans="1:4" ht="15" thickBot="1" x14ac:dyDescent="0.35">
      <c r="A46" s="6">
        <v>47</v>
      </c>
      <c r="B46" s="6" t="s">
        <v>376</v>
      </c>
      <c r="C46" s="7" t="s">
        <v>358</v>
      </c>
      <c r="D46" s="8" t="s">
        <v>460</v>
      </c>
    </row>
    <row r="47" spans="1:4" ht="15" thickBot="1" x14ac:dyDescent="0.35">
      <c r="A47" s="6">
        <v>48</v>
      </c>
      <c r="B47" s="6" t="s">
        <v>399</v>
      </c>
      <c r="C47" s="7" t="s">
        <v>359</v>
      </c>
      <c r="D47" s="8" t="s">
        <v>460</v>
      </c>
    </row>
    <row r="48" spans="1:4" ht="15" thickBot="1" x14ac:dyDescent="0.35">
      <c r="A48" s="6">
        <v>49</v>
      </c>
      <c r="B48" s="6" t="s">
        <v>493</v>
      </c>
      <c r="C48" s="7" t="s">
        <v>359</v>
      </c>
      <c r="D48" s="8" t="s">
        <v>460</v>
      </c>
    </row>
    <row r="49" spans="1:4" ht="15" thickBot="1" x14ac:dyDescent="0.35">
      <c r="A49" s="6">
        <v>50</v>
      </c>
      <c r="B49" s="6" t="s">
        <v>401</v>
      </c>
      <c r="C49" s="7" t="s">
        <v>359</v>
      </c>
      <c r="D49" s="8" t="s">
        <v>460</v>
      </c>
    </row>
    <row r="50" spans="1:4" ht="15" thickBot="1" x14ac:dyDescent="0.35">
      <c r="A50" s="6">
        <v>51</v>
      </c>
      <c r="B50" s="6" t="s">
        <v>494</v>
      </c>
      <c r="C50" s="7" t="s">
        <v>360</v>
      </c>
      <c r="D50" s="8" t="s">
        <v>460</v>
      </c>
    </row>
    <row r="51" spans="1:4" ht="15" thickBot="1" x14ac:dyDescent="0.35">
      <c r="A51" s="6">
        <v>52</v>
      </c>
      <c r="B51" s="6" t="s">
        <v>534</v>
      </c>
      <c r="C51" s="7" t="s">
        <v>360</v>
      </c>
      <c r="D51" s="8" t="s">
        <v>460</v>
      </c>
    </row>
    <row r="52" spans="1:4" ht="15" thickBot="1" x14ac:dyDescent="0.35">
      <c r="A52" s="6">
        <v>53</v>
      </c>
      <c r="B52" s="6" t="s">
        <v>495</v>
      </c>
      <c r="C52" s="7" t="s">
        <v>361</v>
      </c>
      <c r="D52" s="8" t="s">
        <v>460</v>
      </c>
    </row>
    <row r="53" spans="1:4" ht="15" thickBot="1" x14ac:dyDescent="0.35">
      <c r="A53" s="6">
        <v>54</v>
      </c>
      <c r="B53" s="6" t="s">
        <v>392</v>
      </c>
      <c r="C53" s="7" t="s">
        <v>362</v>
      </c>
      <c r="D53" s="8" t="s">
        <v>460</v>
      </c>
    </row>
    <row r="54" spans="1:4" ht="15" thickBot="1" x14ac:dyDescent="0.35">
      <c r="A54" s="6">
        <v>55</v>
      </c>
      <c r="B54" s="6" t="s">
        <v>402</v>
      </c>
      <c r="C54" s="7" t="s">
        <v>363</v>
      </c>
      <c r="D54" s="8" t="s">
        <v>460</v>
      </c>
    </row>
    <row r="55" spans="1:4" ht="15" thickBot="1" x14ac:dyDescent="0.35">
      <c r="A55" s="6">
        <v>56</v>
      </c>
      <c r="B55" s="6" t="s">
        <v>383</v>
      </c>
      <c r="C55" s="7" t="s">
        <v>363</v>
      </c>
      <c r="D55" s="8" t="s">
        <v>460</v>
      </c>
    </row>
    <row r="56" spans="1:4" ht="15" thickBot="1" x14ac:dyDescent="0.35">
      <c r="A56" s="6">
        <v>57</v>
      </c>
      <c r="B56" s="6" t="s">
        <v>113</v>
      </c>
      <c r="C56" s="7" t="s">
        <v>364</v>
      </c>
      <c r="D56" s="8" t="s">
        <v>460</v>
      </c>
    </row>
    <row r="57" spans="1:4" ht="15" thickBot="1" x14ac:dyDescent="0.35">
      <c r="A57" s="6">
        <v>58</v>
      </c>
      <c r="B57" s="6" t="s">
        <v>171</v>
      </c>
      <c r="C57" s="7" t="s">
        <v>364</v>
      </c>
      <c r="D57" s="8" t="s">
        <v>460</v>
      </c>
    </row>
    <row r="58" spans="1:4" ht="15" thickBot="1" x14ac:dyDescent="0.35">
      <c r="A58" s="6">
        <v>59</v>
      </c>
      <c r="B58" s="6" t="s">
        <v>390</v>
      </c>
      <c r="C58" s="7" t="s">
        <v>364</v>
      </c>
      <c r="D58" s="8" t="s">
        <v>460</v>
      </c>
    </row>
    <row r="59" spans="1:4" ht="15" thickBot="1" x14ac:dyDescent="0.35">
      <c r="A59" s="6">
        <v>60</v>
      </c>
      <c r="B59" s="6" t="s">
        <v>148</v>
      </c>
      <c r="C59" s="7" t="s">
        <v>364</v>
      </c>
      <c r="D59" s="8" t="s">
        <v>460</v>
      </c>
    </row>
    <row r="60" spans="1:4" ht="15" thickBot="1" x14ac:dyDescent="0.35">
      <c r="A60" s="6">
        <v>61</v>
      </c>
      <c r="B60" s="6" t="s">
        <v>496</v>
      </c>
      <c r="C60" s="7" t="s">
        <v>365</v>
      </c>
      <c r="D60" s="8" t="s">
        <v>461</v>
      </c>
    </row>
    <row r="61" spans="1:4" ht="15" thickBot="1" x14ac:dyDescent="0.35">
      <c r="A61" s="6">
        <v>62</v>
      </c>
      <c r="B61" s="6" t="s">
        <v>416</v>
      </c>
      <c r="C61" s="7" t="s">
        <v>366</v>
      </c>
      <c r="D61" s="8" t="s">
        <v>461</v>
      </c>
    </row>
    <row r="62" spans="1:4" ht="15" thickBot="1" x14ac:dyDescent="0.35">
      <c r="A62" s="6">
        <v>63</v>
      </c>
      <c r="B62" s="6" t="s">
        <v>435</v>
      </c>
      <c r="C62" s="7" t="s">
        <v>367</v>
      </c>
      <c r="D62" s="8" t="s">
        <v>461</v>
      </c>
    </row>
    <row r="63" spans="1:4" ht="15" thickBot="1" x14ac:dyDescent="0.35">
      <c r="A63" s="6">
        <v>64</v>
      </c>
      <c r="B63" s="6" t="s">
        <v>539</v>
      </c>
      <c r="C63" s="7" t="s">
        <v>367</v>
      </c>
      <c r="D63" s="8" t="s">
        <v>461</v>
      </c>
    </row>
    <row r="64" spans="1:4" ht="15" thickBot="1" x14ac:dyDescent="0.35">
      <c r="A64" s="6">
        <v>65</v>
      </c>
      <c r="B64" s="6" t="s">
        <v>535</v>
      </c>
      <c r="C64" s="7" t="s">
        <v>368</v>
      </c>
      <c r="D64" s="8" t="s">
        <v>461</v>
      </c>
    </row>
    <row r="65" spans="1:4" ht="15" thickBot="1" x14ac:dyDescent="0.35">
      <c r="A65" s="6">
        <v>66</v>
      </c>
      <c r="B65" s="6" t="s">
        <v>414</v>
      </c>
      <c r="C65" s="7" t="s">
        <v>368</v>
      </c>
      <c r="D65" s="8" t="s">
        <v>461</v>
      </c>
    </row>
    <row r="66" spans="1:4" ht="15" thickBot="1" x14ac:dyDescent="0.35">
      <c r="A66" s="6">
        <v>67</v>
      </c>
      <c r="B66" s="6" t="s">
        <v>497</v>
      </c>
      <c r="C66" s="7" t="s">
        <v>369</v>
      </c>
      <c r="D66" s="8" t="s">
        <v>461</v>
      </c>
    </row>
    <row r="67" spans="1:4" ht="15" thickBot="1" x14ac:dyDescent="0.35">
      <c r="A67" s="6">
        <v>68</v>
      </c>
      <c r="B67" s="6" t="s">
        <v>440</v>
      </c>
      <c r="C67" s="7" t="s">
        <v>369</v>
      </c>
      <c r="D67" s="8" t="s">
        <v>461</v>
      </c>
    </row>
    <row r="68" spans="1:4" ht="15" thickBot="1" x14ac:dyDescent="0.35">
      <c r="A68" s="6">
        <v>69</v>
      </c>
      <c r="B68" s="6" t="s">
        <v>163</v>
      </c>
      <c r="C68" s="7" t="s">
        <v>370</v>
      </c>
      <c r="D68" s="8" t="s">
        <v>461</v>
      </c>
    </row>
    <row r="69" spans="1:4" ht="15" thickBot="1" x14ac:dyDescent="0.35">
      <c r="A69" s="6">
        <v>70</v>
      </c>
      <c r="B69" s="6" t="s">
        <v>498</v>
      </c>
      <c r="C69" s="7" t="s">
        <v>370</v>
      </c>
      <c r="D69" s="8" t="s">
        <v>461</v>
      </c>
    </row>
    <row r="70" spans="1:4" ht="15" thickBot="1" x14ac:dyDescent="0.35">
      <c r="A70" s="6">
        <v>71</v>
      </c>
      <c r="B70" s="6" t="s">
        <v>391</v>
      </c>
      <c r="C70" s="7" t="s">
        <v>371</v>
      </c>
      <c r="D70" s="8" t="s">
        <v>461</v>
      </c>
    </row>
    <row r="71" spans="1:4" ht="15" thickBot="1" x14ac:dyDescent="0.35">
      <c r="A71" s="6">
        <v>72</v>
      </c>
      <c r="B71" s="6" t="s">
        <v>499</v>
      </c>
      <c r="C71" s="7" t="s">
        <v>371</v>
      </c>
      <c r="D71" s="8" t="s">
        <v>461</v>
      </c>
    </row>
    <row r="72" spans="1:4" ht="15" thickBot="1" x14ac:dyDescent="0.35">
      <c r="A72" s="6">
        <v>73</v>
      </c>
      <c r="B72" s="6" t="s">
        <v>398</v>
      </c>
      <c r="C72" s="7" t="s">
        <v>372</v>
      </c>
      <c r="D72" s="8" t="s">
        <v>461</v>
      </c>
    </row>
    <row r="73" spans="1:4" ht="15" thickBot="1" x14ac:dyDescent="0.35">
      <c r="A73" s="6">
        <v>74</v>
      </c>
      <c r="B73" s="6" t="s">
        <v>500</v>
      </c>
      <c r="C73" s="7" t="s">
        <v>372</v>
      </c>
      <c r="D73" s="8" t="s">
        <v>461</v>
      </c>
    </row>
    <row r="74" spans="1:4" ht="15" thickBot="1" x14ac:dyDescent="0.35">
      <c r="A74" s="6">
        <v>75</v>
      </c>
      <c r="B74" s="6" t="s">
        <v>411</v>
      </c>
      <c r="C74" s="7" t="s">
        <v>373</v>
      </c>
      <c r="D74" s="8" t="s">
        <v>461</v>
      </c>
    </row>
    <row r="75" spans="1:4" ht="15" thickBot="1" x14ac:dyDescent="0.35">
      <c r="A75" s="6">
        <v>76</v>
      </c>
      <c r="B75" s="6" t="s">
        <v>501</v>
      </c>
      <c r="C75" s="7" t="s">
        <v>373</v>
      </c>
      <c r="D75" s="8" t="s">
        <v>461</v>
      </c>
    </row>
    <row r="76" spans="1:4" ht="15" thickBot="1" x14ac:dyDescent="0.35">
      <c r="A76" s="6">
        <v>77</v>
      </c>
      <c r="B76" s="6" t="s">
        <v>502</v>
      </c>
      <c r="C76" s="7" t="s">
        <v>374</v>
      </c>
      <c r="D76" s="8" t="s">
        <v>461</v>
      </c>
    </row>
    <row r="77" spans="1:4" ht="15" thickBot="1" x14ac:dyDescent="0.35">
      <c r="A77" s="6">
        <v>78</v>
      </c>
      <c r="B77" s="6" t="s">
        <v>503</v>
      </c>
      <c r="C77" s="7" t="s">
        <v>375</v>
      </c>
      <c r="D77" s="8" t="s">
        <v>461</v>
      </c>
    </row>
    <row r="78" spans="1:4" ht="15" thickBot="1" x14ac:dyDescent="0.35">
      <c r="A78" s="6">
        <v>79</v>
      </c>
      <c r="B78" s="6" t="s">
        <v>376</v>
      </c>
      <c r="C78" s="7" t="s">
        <v>375</v>
      </c>
      <c r="D78" s="8" t="s">
        <v>461</v>
      </c>
    </row>
    <row r="79" spans="1:4" ht="15" thickBot="1" x14ac:dyDescent="0.35">
      <c r="A79" s="6">
        <v>80</v>
      </c>
      <c r="B79" s="6" t="s">
        <v>18</v>
      </c>
      <c r="C79" s="7" t="s">
        <v>375</v>
      </c>
      <c r="D79" s="8" t="s">
        <v>461</v>
      </c>
    </row>
    <row r="80" spans="1:4" ht="15" thickBot="1" x14ac:dyDescent="0.35">
      <c r="A80" s="6">
        <v>81</v>
      </c>
      <c r="B80" s="6" t="s">
        <v>504</v>
      </c>
      <c r="C80" s="7" t="s">
        <v>377</v>
      </c>
      <c r="D80" s="8" t="s">
        <v>462</v>
      </c>
    </row>
    <row r="81" spans="1:4" ht="15" thickBot="1" x14ac:dyDescent="0.35">
      <c r="A81" s="6">
        <v>82</v>
      </c>
      <c r="B81" s="6" t="s">
        <v>505</v>
      </c>
      <c r="C81" s="7" t="s">
        <v>377</v>
      </c>
      <c r="D81" s="8" t="s">
        <v>462</v>
      </c>
    </row>
    <row r="82" spans="1:4" ht="15" thickBot="1" x14ac:dyDescent="0.35">
      <c r="A82" s="6">
        <v>83</v>
      </c>
      <c r="B82" s="6" t="s">
        <v>397</v>
      </c>
      <c r="C82" s="7" t="s">
        <v>377</v>
      </c>
      <c r="D82" s="8" t="s">
        <v>462</v>
      </c>
    </row>
    <row r="83" spans="1:4" ht="15" thickBot="1" x14ac:dyDescent="0.35">
      <c r="A83" s="6">
        <v>84</v>
      </c>
      <c r="B83" s="6" t="s">
        <v>506</v>
      </c>
      <c r="C83" s="7" t="s">
        <v>378</v>
      </c>
      <c r="D83" s="8" t="s">
        <v>462</v>
      </c>
    </row>
    <row r="84" spans="1:4" ht="15" thickBot="1" x14ac:dyDescent="0.35">
      <c r="A84" s="6">
        <v>85</v>
      </c>
      <c r="B84" s="6" t="s">
        <v>507</v>
      </c>
      <c r="C84" s="7" t="s">
        <v>378</v>
      </c>
      <c r="D84" s="8" t="s">
        <v>462</v>
      </c>
    </row>
    <row r="85" spans="1:4" ht="15" thickBot="1" x14ac:dyDescent="0.35">
      <c r="A85" s="6">
        <v>86</v>
      </c>
      <c r="B85" s="6" t="s">
        <v>508</v>
      </c>
      <c r="C85" s="7" t="s">
        <v>379</v>
      </c>
      <c r="D85" s="8" t="s">
        <v>462</v>
      </c>
    </row>
    <row r="86" spans="1:4" ht="15" thickBot="1" x14ac:dyDescent="0.35">
      <c r="A86" s="6">
        <v>87</v>
      </c>
      <c r="B86" s="6" t="s">
        <v>509</v>
      </c>
      <c r="C86" s="7" t="s">
        <v>379</v>
      </c>
      <c r="D86" s="8" t="s">
        <v>462</v>
      </c>
    </row>
    <row r="87" spans="1:4" ht="15" thickBot="1" x14ac:dyDescent="0.35">
      <c r="A87" s="6">
        <v>88</v>
      </c>
      <c r="B87" s="6" t="s">
        <v>455</v>
      </c>
      <c r="C87" s="7" t="s">
        <v>379</v>
      </c>
      <c r="D87" s="8" t="s">
        <v>462</v>
      </c>
    </row>
    <row r="88" spans="1:4" ht="15" thickBot="1" x14ac:dyDescent="0.35">
      <c r="A88" s="6">
        <v>89</v>
      </c>
      <c r="B88" s="6" t="s">
        <v>510</v>
      </c>
      <c r="C88" s="7" t="s">
        <v>380</v>
      </c>
      <c r="D88" s="8" t="s">
        <v>462</v>
      </c>
    </row>
    <row r="89" spans="1:4" ht="15" thickBot="1" x14ac:dyDescent="0.35">
      <c r="A89" s="6">
        <v>90</v>
      </c>
      <c r="B89" s="6" t="s">
        <v>386</v>
      </c>
      <c r="C89" s="7" t="s">
        <v>380</v>
      </c>
      <c r="D89" s="8" t="s">
        <v>462</v>
      </c>
    </row>
    <row r="90" spans="1:4" ht="15" thickBot="1" x14ac:dyDescent="0.35">
      <c r="A90" s="6">
        <v>91</v>
      </c>
      <c r="B90" s="6" t="s">
        <v>394</v>
      </c>
      <c r="C90" s="7" t="s">
        <v>380</v>
      </c>
      <c r="D90" s="8" t="s">
        <v>462</v>
      </c>
    </row>
    <row r="91" spans="1:4" ht="15" thickBot="1" x14ac:dyDescent="0.35">
      <c r="A91" s="6">
        <v>92</v>
      </c>
      <c r="B91" s="6" t="s">
        <v>486</v>
      </c>
      <c r="C91" s="7" t="s">
        <v>381</v>
      </c>
      <c r="D91" s="8" t="s">
        <v>462</v>
      </c>
    </row>
    <row r="92" spans="1:4" ht="15" thickBot="1" x14ac:dyDescent="0.35">
      <c r="A92" s="6">
        <v>93</v>
      </c>
      <c r="B92" s="6" t="s">
        <v>60</v>
      </c>
      <c r="C92" s="7" t="s">
        <v>381</v>
      </c>
      <c r="D92" s="8" t="s">
        <v>462</v>
      </c>
    </row>
    <row r="93" spans="1:4" ht="15" thickBot="1" x14ac:dyDescent="0.35">
      <c r="A93" s="6">
        <v>94</v>
      </c>
      <c r="B93" s="6" t="s">
        <v>484</v>
      </c>
      <c r="C93" s="7" t="s">
        <v>382</v>
      </c>
      <c r="D93" s="8" t="s">
        <v>462</v>
      </c>
    </row>
    <row r="94" spans="1:4" ht="15" thickBot="1" x14ac:dyDescent="0.35">
      <c r="A94" s="6">
        <v>95</v>
      </c>
      <c r="B94" s="6" t="s">
        <v>383</v>
      </c>
      <c r="C94" s="7" t="s">
        <v>382</v>
      </c>
      <c r="D94" s="8" t="s">
        <v>462</v>
      </c>
    </row>
    <row r="95" spans="1:4" ht="28.2" thickBot="1" x14ac:dyDescent="0.35">
      <c r="A95" s="6">
        <v>96</v>
      </c>
      <c r="B95" s="6" t="s">
        <v>511</v>
      </c>
      <c r="C95" s="7" t="s">
        <v>382</v>
      </c>
      <c r="D95" s="8" t="s">
        <v>462</v>
      </c>
    </row>
    <row r="96" spans="1:4" ht="15" thickBot="1" x14ac:dyDescent="0.35">
      <c r="A96" s="6">
        <v>97</v>
      </c>
      <c r="B96" s="6" t="s">
        <v>405</v>
      </c>
      <c r="C96" s="7" t="s">
        <v>384</v>
      </c>
      <c r="D96" s="8" t="s">
        <v>462</v>
      </c>
    </row>
    <row r="97" spans="1:4" ht="15" thickBot="1" x14ac:dyDescent="0.35">
      <c r="A97" s="6">
        <v>98</v>
      </c>
      <c r="B97" s="6" t="s">
        <v>512</v>
      </c>
      <c r="C97" s="7" t="s">
        <v>385</v>
      </c>
      <c r="D97" s="8" t="s">
        <v>462</v>
      </c>
    </row>
    <row r="98" spans="1:4" ht="15" thickBot="1" x14ac:dyDescent="0.35">
      <c r="A98" s="6">
        <v>99</v>
      </c>
      <c r="B98" s="6" t="s">
        <v>480</v>
      </c>
      <c r="C98" s="7" t="s">
        <v>385</v>
      </c>
      <c r="D98" s="8" t="s">
        <v>462</v>
      </c>
    </row>
    <row r="99" spans="1:4" ht="15" thickBot="1" x14ac:dyDescent="0.35">
      <c r="A99" s="6">
        <v>100</v>
      </c>
      <c r="B99" s="6" t="s">
        <v>386</v>
      </c>
      <c r="C99" s="7" t="s">
        <v>387</v>
      </c>
      <c r="D99" s="8" t="s">
        <v>462</v>
      </c>
    </row>
    <row r="100" spans="1:4" ht="15" thickBot="1" x14ac:dyDescent="0.35">
      <c r="A100" s="6">
        <v>101</v>
      </c>
      <c r="B100" s="6" t="s">
        <v>404</v>
      </c>
      <c r="C100" s="7" t="s">
        <v>387</v>
      </c>
      <c r="D100" s="8" t="s">
        <v>463</v>
      </c>
    </row>
    <row r="101" spans="1:4" ht="15" thickBot="1" x14ac:dyDescent="0.35">
      <c r="A101" s="6">
        <v>102</v>
      </c>
      <c r="B101" s="6" t="s">
        <v>488</v>
      </c>
      <c r="C101" s="7" t="s">
        <v>388</v>
      </c>
      <c r="D101" s="8" t="s">
        <v>463</v>
      </c>
    </row>
    <row r="102" spans="1:4" ht="15" thickBot="1" x14ac:dyDescent="0.35">
      <c r="A102" s="6">
        <v>103</v>
      </c>
      <c r="B102" s="6" t="s">
        <v>513</v>
      </c>
      <c r="C102" s="7" t="s">
        <v>389</v>
      </c>
      <c r="D102" s="8" t="s">
        <v>463</v>
      </c>
    </row>
    <row r="103" spans="1:4" ht="15" thickBot="1" x14ac:dyDescent="0.35">
      <c r="A103" s="6">
        <v>104</v>
      </c>
      <c r="B103" s="6" t="s">
        <v>390</v>
      </c>
      <c r="C103" s="7" t="s">
        <v>389</v>
      </c>
      <c r="D103" s="8" t="s">
        <v>463</v>
      </c>
    </row>
    <row r="104" spans="1:4" ht="15" thickBot="1" x14ac:dyDescent="0.35">
      <c r="A104" s="6">
        <v>105</v>
      </c>
      <c r="B104" s="6" t="s">
        <v>391</v>
      </c>
      <c r="C104" s="7" t="s">
        <v>389</v>
      </c>
      <c r="D104" s="8" t="s">
        <v>463</v>
      </c>
    </row>
    <row r="105" spans="1:4" ht="15" thickBot="1" x14ac:dyDescent="0.35">
      <c r="A105" s="6">
        <v>106</v>
      </c>
      <c r="B105" s="6" t="s">
        <v>392</v>
      </c>
      <c r="C105" s="7" t="s">
        <v>393</v>
      </c>
      <c r="D105" s="8" t="s">
        <v>463</v>
      </c>
    </row>
    <row r="106" spans="1:4" ht="15" thickBot="1" x14ac:dyDescent="0.35">
      <c r="A106" s="6">
        <v>107</v>
      </c>
      <c r="B106" s="6" t="s">
        <v>394</v>
      </c>
      <c r="C106" s="7" t="s">
        <v>393</v>
      </c>
      <c r="D106" s="8" t="s">
        <v>463</v>
      </c>
    </row>
    <row r="107" spans="1:4" ht="15" thickBot="1" x14ac:dyDescent="0.35">
      <c r="A107" s="6">
        <v>108</v>
      </c>
      <c r="B107" s="6" t="s">
        <v>514</v>
      </c>
      <c r="C107" s="7" t="s">
        <v>393</v>
      </c>
      <c r="D107" s="8" t="s">
        <v>463</v>
      </c>
    </row>
    <row r="108" spans="1:4" ht="15" thickBot="1" x14ac:dyDescent="0.35">
      <c r="A108" s="6">
        <v>109</v>
      </c>
      <c r="B108" s="6" t="s">
        <v>443</v>
      </c>
      <c r="C108" s="7" t="s">
        <v>395</v>
      </c>
      <c r="D108" s="8" t="s">
        <v>463</v>
      </c>
    </row>
    <row r="109" spans="1:4" ht="15" thickBot="1" x14ac:dyDescent="0.35">
      <c r="A109" s="6">
        <v>110</v>
      </c>
      <c r="B109" s="6" t="s">
        <v>429</v>
      </c>
      <c r="C109" s="7" t="s">
        <v>395</v>
      </c>
      <c r="D109" s="8" t="s">
        <v>463</v>
      </c>
    </row>
    <row r="110" spans="1:4" ht="15" thickBot="1" x14ac:dyDescent="0.35">
      <c r="A110" s="6">
        <v>111</v>
      </c>
      <c r="B110" s="6" t="s">
        <v>18</v>
      </c>
      <c r="C110" s="7" t="s">
        <v>396</v>
      </c>
      <c r="D110" s="8" t="s">
        <v>463</v>
      </c>
    </row>
    <row r="111" spans="1:4" ht="15" thickBot="1" x14ac:dyDescent="0.35">
      <c r="A111" s="6">
        <v>112</v>
      </c>
      <c r="B111" s="6" t="s">
        <v>397</v>
      </c>
      <c r="C111" s="7" t="s">
        <v>396</v>
      </c>
      <c r="D111" s="8" t="s">
        <v>463</v>
      </c>
    </row>
    <row r="112" spans="1:4" ht="15" thickBot="1" x14ac:dyDescent="0.35">
      <c r="A112" s="6">
        <v>113</v>
      </c>
      <c r="B112" s="6" t="s">
        <v>386</v>
      </c>
      <c r="C112" s="7" t="s">
        <v>396</v>
      </c>
      <c r="D112" s="8" t="s">
        <v>463</v>
      </c>
    </row>
    <row r="113" spans="1:4" ht="15" thickBot="1" x14ac:dyDescent="0.35">
      <c r="A113" s="6">
        <v>114</v>
      </c>
      <c r="B113" s="6" t="s">
        <v>398</v>
      </c>
      <c r="C113" s="7" t="s">
        <v>396</v>
      </c>
      <c r="D113" s="8" t="s">
        <v>463</v>
      </c>
    </row>
    <row r="114" spans="1:4" ht="15" thickBot="1" x14ac:dyDescent="0.35">
      <c r="A114" s="6">
        <v>115</v>
      </c>
      <c r="B114" s="6" t="s">
        <v>399</v>
      </c>
      <c r="C114" s="7" t="s">
        <v>400</v>
      </c>
      <c r="D114" s="8" t="s">
        <v>463</v>
      </c>
    </row>
    <row r="115" spans="1:4" ht="15" thickBot="1" x14ac:dyDescent="0.35">
      <c r="A115" s="6">
        <v>116</v>
      </c>
      <c r="B115" s="6" t="s">
        <v>515</v>
      </c>
      <c r="C115" s="7" t="s">
        <v>400</v>
      </c>
      <c r="D115" s="8" t="s">
        <v>463</v>
      </c>
    </row>
    <row r="116" spans="1:4" ht="15" thickBot="1" x14ac:dyDescent="0.35">
      <c r="A116" s="6">
        <v>117</v>
      </c>
      <c r="B116" s="6" t="s">
        <v>401</v>
      </c>
      <c r="C116" s="7" t="s">
        <v>400</v>
      </c>
      <c r="D116" s="8" t="s">
        <v>463</v>
      </c>
    </row>
    <row r="117" spans="1:4" ht="15" thickBot="1" x14ac:dyDescent="0.35">
      <c r="A117" s="6">
        <v>118</v>
      </c>
      <c r="B117" s="6" t="s">
        <v>402</v>
      </c>
      <c r="C117" s="7" t="s">
        <v>403</v>
      </c>
      <c r="D117" s="8" t="s">
        <v>463</v>
      </c>
    </row>
    <row r="118" spans="1:4" ht="15" thickBot="1" x14ac:dyDescent="0.35">
      <c r="A118" s="6">
        <v>119</v>
      </c>
      <c r="B118" s="6" t="s">
        <v>404</v>
      </c>
      <c r="C118" s="7" t="s">
        <v>403</v>
      </c>
      <c r="D118" s="8" t="s">
        <v>463</v>
      </c>
    </row>
    <row r="119" spans="1:4" ht="15" thickBot="1" x14ac:dyDescent="0.35">
      <c r="A119" s="6">
        <v>120</v>
      </c>
      <c r="B119" s="6" t="s">
        <v>405</v>
      </c>
      <c r="C119" s="7" t="s">
        <v>406</v>
      </c>
      <c r="D119" s="8" t="s">
        <v>463</v>
      </c>
    </row>
    <row r="120" spans="1:4" ht="15" thickBot="1" x14ac:dyDescent="0.35">
      <c r="A120" s="6">
        <v>121</v>
      </c>
      <c r="B120" s="6" t="s">
        <v>516</v>
      </c>
      <c r="C120" s="7" t="s">
        <v>407</v>
      </c>
      <c r="D120" s="8" t="s">
        <v>463</v>
      </c>
    </row>
    <row r="121" spans="1:4" ht="15" thickBot="1" x14ac:dyDescent="0.35">
      <c r="A121" s="6">
        <v>122</v>
      </c>
      <c r="B121" s="6" t="s">
        <v>517</v>
      </c>
      <c r="C121" s="7" t="s">
        <v>408</v>
      </c>
      <c r="D121" s="8" t="s">
        <v>463</v>
      </c>
    </row>
    <row r="122" spans="1:4" ht="15" thickBot="1" x14ac:dyDescent="0.35">
      <c r="A122" s="6">
        <v>123</v>
      </c>
      <c r="B122" s="6" t="s">
        <v>409</v>
      </c>
      <c r="C122" s="7" t="s">
        <v>408</v>
      </c>
      <c r="D122" s="8" t="s">
        <v>463</v>
      </c>
    </row>
    <row r="123" spans="1:4" ht="15" thickBot="1" x14ac:dyDescent="0.35">
      <c r="A123" s="6">
        <v>124</v>
      </c>
      <c r="B123" s="6" t="s">
        <v>518</v>
      </c>
      <c r="C123" s="7" t="s">
        <v>410</v>
      </c>
      <c r="D123" s="8" t="s">
        <v>463</v>
      </c>
    </row>
    <row r="124" spans="1:4" ht="15" thickBot="1" x14ac:dyDescent="0.35">
      <c r="A124" s="6">
        <v>125</v>
      </c>
      <c r="B124" s="6" t="s">
        <v>411</v>
      </c>
      <c r="C124" s="7" t="s">
        <v>410</v>
      </c>
      <c r="D124" s="8" t="s">
        <v>463</v>
      </c>
    </row>
    <row r="125" spans="1:4" ht="15" thickBot="1" x14ac:dyDescent="0.35">
      <c r="A125" s="6">
        <v>126</v>
      </c>
      <c r="B125" s="6" t="s">
        <v>412</v>
      </c>
      <c r="C125" s="7" t="s">
        <v>413</v>
      </c>
      <c r="D125" s="8" t="s">
        <v>463</v>
      </c>
    </row>
    <row r="126" spans="1:4" ht="15" thickBot="1" x14ac:dyDescent="0.35">
      <c r="A126" s="6">
        <v>127</v>
      </c>
      <c r="B126" s="6" t="s">
        <v>414</v>
      </c>
      <c r="C126" s="7" t="s">
        <v>413</v>
      </c>
      <c r="D126" s="8" t="s">
        <v>463</v>
      </c>
    </row>
    <row r="127" spans="1:4" ht="15" thickBot="1" x14ac:dyDescent="0.35">
      <c r="A127" s="6">
        <v>128</v>
      </c>
      <c r="B127" s="6" t="s">
        <v>414</v>
      </c>
      <c r="C127" s="7" t="s">
        <v>415</v>
      </c>
      <c r="D127" s="8" t="s">
        <v>463</v>
      </c>
    </row>
    <row r="128" spans="1:4" ht="15" thickBot="1" x14ac:dyDescent="0.35">
      <c r="A128" s="6">
        <v>129</v>
      </c>
      <c r="B128" s="6" t="s">
        <v>492</v>
      </c>
      <c r="C128" s="7" t="s">
        <v>415</v>
      </c>
      <c r="D128" s="8" t="s">
        <v>463</v>
      </c>
    </row>
    <row r="129" spans="1:4" ht="15" thickBot="1" x14ac:dyDescent="0.35">
      <c r="A129" s="6">
        <v>130</v>
      </c>
      <c r="B129" s="6" t="s">
        <v>416</v>
      </c>
      <c r="C129" s="7" t="s">
        <v>417</v>
      </c>
      <c r="D129" s="8" t="s">
        <v>463</v>
      </c>
    </row>
    <row r="130" spans="1:4" ht="15" thickBot="1" x14ac:dyDescent="0.35">
      <c r="A130" s="6">
        <v>131</v>
      </c>
      <c r="B130" s="6" t="s">
        <v>418</v>
      </c>
      <c r="C130" s="7" t="s">
        <v>417</v>
      </c>
      <c r="D130" s="8" t="s">
        <v>463</v>
      </c>
    </row>
    <row r="131" spans="1:4" ht="15" thickBot="1" x14ac:dyDescent="0.35">
      <c r="A131" s="6">
        <v>132</v>
      </c>
      <c r="B131" s="6" t="s">
        <v>419</v>
      </c>
      <c r="C131" s="7" t="s">
        <v>420</v>
      </c>
      <c r="D131" s="8" t="s">
        <v>463</v>
      </c>
    </row>
    <row r="132" spans="1:4" ht="15" thickBot="1" x14ac:dyDescent="0.35">
      <c r="A132" s="6">
        <v>133</v>
      </c>
      <c r="B132" s="6" t="s">
        <v>519</v>
      </c>
      <c r="C132" s="7" t="s">
        <v>421</v>
      </c>
      <c r="D132" s="8" t="s">
        <v>463</v>
      </c>
    </row>
    <row r="133" spans="1:4" ht="15" thickBot="1" x14ac:dyDescent="0.35">
      <c r="A133" s="6">
        <v>134</v>
      </c>
      <c r="B133" s="6" t="s">
        <v>163</v>
      </c>
      <c r="C133" s="7" t="s">
        <v>422</v>
      </c>
      <c r="D133" s="8" t="s">
        <v>463</v>
      </c>
    </row>
    <row r="134" spans="1:4" ht="15" thickBot="1" x14ac:dyDescent="0.35">
      <c r="A134" s="6">
        <v>135</v>
      </c>
      <c r="B134" s="6" t="s">
        <v>423</v>
      </c>
      <c r="C134" s="7" t="s">
        <v>422</v>
      </c>
      <c r="D134" s="8" t="s">
        <v>463</v>
      </c>
    </row>
    <row r="135" spans="1:4" ht="15" thickBot="1" x14ac:dyDescent="0.35">
      <c r="A135" s="6">
        <v>136</v>
      </c>
      <c r="B135" s="6" t="s">
        <v>376</v>
      </c>
      <c r="C135" s="7" t="s">
        <v>422</v>
      </c>
      <c r="D135" s="8" t="s">
        <v>463</v>
      </c>
    </row>
    <row r="136" spans="1:4" ht="15" thickBot="1" x14ac:dyDescent="0.35">
      <c r="A136" s="6">
        <v>137</v>
      </c>
      <c r="B136" s="6" t="s">
        <v>113</v>
      </c>
      <c r="C136" s="7" t="s">
        <v>422</v>
      </c>
      <c r="D136" s="8" t="s">
        <v>463</v>
      </c>
    </row>
    <row r="137" spans="1:4" ht="15" thickBot="1" x14ac:dyDescent="0.35">
      <c r="A137" s="6">
        <v>138</v>
      </c>
      <c r="B137" s="6" t="s">
        <v>520</v>
      </c>
      <c r="C137" s="7" t="s">
        <v>424</v>
      </c>
      <c r="D137" s="8" t="s">
        <v>463</v>
      </c>
    </row>
    <row r="138" spans="1:4" ht="15" thickBot="1" x14ac:dyDescent="0.35">
      <c r="A138" s="6">
        <v>139</v>
      </c>
      <c r="B138" s="6" t="s">
        <v>391</v>
      </c>
      <c r="C138" s="7" t="s">
        <v>424</v>
      </c>
      <c r="D138" s="8" t="s">
        <v>463</v>
      </c>
    </row>
    <row r="139" spans="1:4" ht="15" thickBot="1" x14ac:dyDescent="0.35">
      <c r="A139" s="6">
        <v>140</v>
      </c>
      <c r="B139" s="6" t="s">
        <v>496</v>
      </c>
      <c r="C139" s="7" t="s">
        <v>424</v>
      </c>
      <c r="D139" s="8" t="s">
        <v>463</v>
      </c>
    </row>
    <row r="140" spans="1:4" ht="15" thickBot="1" x14ac:dyDescent="0.35">
      <c r="A140" s="6">
        <v>141</v>
      </c>
      <c r="B140" s="6" t="s">
        <v>495</v>
      </c>
      <c r="C140" s="7" t="s">
        <v>424</v>
      </c>
      <c r="D140" s="8" t="s">
        <v>463</v>
      </c>
    </row>
    <row r="141" spans="1:4" ht="15" thickBot="1" x14ac:dyDescent="0.35">
      <c r="A141" s="6">
        <v>142</v>
      </c>
      <c r="B141" s="6" t="s">
        <v>423</v>
      </c>
      <c r="C141" s="7" t="s">
        <v>425</v>
      </c>
      <c r="D141" s="8" t="s">
        <v>463</v>
      </c>
    </row>
    <row r="142" spans="1:4" ht="15" thickBot="1" x14ac:dyDescent="0.35">
      <c r="A142" s="6">
        <v>143</v>
      </c>
      <c r="B142" s="6" t="s">
        <v>521</v>
      </c>
      <c r="C142" s="7" t="s">
        <v>426</v>
      </c>
      <c r="D142" s="8" t="s">
        <v>463</v>
      </c>
    </row>
    <row r="143" spans="1:4" ht="15" thickBot="1" x14ac:dyDescent="0.35">
      <c r="A143" s="6">
        <v>144</v>
      </c>
      <c r="B143" s="6" t="s">
        <v>522</v>
      </c>
      <c r="C143" s="7" t="s">
        <v>426</v>
      </c>
      <c r="D143" s="8" t="s">
        <v>463</v>
      </c>
    </row>
    <row r="144" spans="1:4" ht="15" thickBot="1" x14ac:dyDescent="0.35">
      <c r="A144" s="6">
        <v>145</v>
      </c>
      <c r="B144" s="6" t="s">
        <v>427</v>
      </c>
      <c r="C144" s="7" t="s">
        <v>426</v>
      </c>
      <c r="D144" s="8" t="s">
        <v>463</v>
      </c>
    </row>
    <row r="145" spans="1:4" ht="15" thickBot="1" x14ac:dyDescent="0.35">
      <c r="A145" s="6">
        <v>146</v>
      </c>
      <c r="B145" s="6" t="s">
        <v>431</v>
      </c>
      <c r="C145" s="7" t="s">
        <v>426</v>
      </c>
      <c r="D145" s="8" t="s">
        <v>463</v>
      </c>
    </row>
    <row r="146" spans="1:4" ht="15" thickBot="1" x14ac:dyDescent="0.35">
      <c r="A146" s="6">
        <v>147</v>
      </c>
      <c r="B146" s="6" t="s">
        <v>399</v>
      </c>
      <c r="C146" s="7" t="s">
        <v>428</v>
      </c>
      <c r="D146" s="8" t="s">
        <v>463</v>
      </c>
    </row>
    <row r="147" spans="1:4" ht="15" thickBot="1" x14ac:dyDescent="0.35">
      <c r="A147" s="6">
        <v>148</v>
      </c>
      <c r="B147" s="6" t="s">
        <v>523</v>
      </c>
      <c r="C147" s="7" t="s">
        <v>428</v>
      </c>
      <c r="D147" s="8" t="s">
        <v>463</v>
      </c>
    </row>
    <row r="148" spans="1:4" ht="15" thickBot="1" x14ac:dyDescent="0.35">
      <c r="A148" s="6">
        <v>149</v>
      </c>
      <c r="B148" s="6" t="s">
        <v>429</v>
      </c>
      <c r="C148" s="7" t="s">
        <v>430</v>
      </c>
      <c r="D148" s="8" t="s">
        <v>463</v>
      </c>
    </row>
    <row r="149" spans="1:4" ht="15" thickBot="1" x14ac:dyDescent="0.35">
      <c r="A149" s="6">
        <v>150</v>
      </c>
      <c r="B149" s="6" t="s">
        <v>18</v>
      </c>
      <c r="C149" s="7" t="s">
        <v>430</v>
      </c>
      <c r="D149" s="8" t="s">
        <v>463</v>
      </c>
    </row>
    <row r="150" spans="1:4" ht="15" thickBot="1" x14ac:dyDescent="0.35">
      <c r="A150" s="6">
        <v>151</v>
      </c>
      <c r="B150" s="6" t="s">
        <v>499</v>
      </c>
      <c r="C150" s="7" t="s">
        <v>430</v>
      </c>
      <c r="D150" s="8" t="s">
        <v>464</v>
      </c>
    </row>
    <row r="151" spans="1:4" ht="15" thickBot="1" x14ac:dyDescent="0.35">
      <c r="A151" s="6">
        <v>152</v>
      </c>
      <c r="B151" s="6" t="s">
        <v>376</v>
      </c>
      <c r="C151" s="7" t="s">
        <v>430</v>
      </c>
      <c r="D151" s="8" t="s">
        <v>464</v>
      </c>
    </row>
    <row r="152" spans="1:4" ht="15" thickBot="1" x14ac:dyDescent="0.35">
      <c r="A152" s="6">
        <v>153</v>
      </c>
      <c r="B152" s="6" t="s">
        <v>431</v>
      </c>
      <c r="C152" s="7" t="s">
        <v>432</v>
      </c>
      <c r="D152" s="8" t="s">
        <v>464</v>
      </c>
    </row>
    <row r="153" spans="1:4" ht="15" thickBot="1" x14ac:dyDescent="0.35">
      <c r="A153" s="6">
        <v>154</v>
      </c>
      <c r="B153" s="6" t="s">
        <v>491</v>
      </c>
      <c r="C153" s="7" t="s">
        <v>432</v>
      </c>
      <c r="D153" s="8" t="s">
        <v>464</v>
      </c>
    </row>
    <row r="154" spans="1:4" ht="15" thickBot="1" x14ac:dyDescent="0.35">
      <c r="A154" s="6">
        <v>155</v>
      </c>
      <c r="B154" s="6" t="s">
        <v>411</v>
      </c>
      <c r="C154" s="7" t="s">
        <v>432</v>
      </c>
      <c r="D154" s="8" t="s">
        <v>464</v>
      </c>
    </row>
    <row r="155" spans="1:4" ht="15" thickBot="1" x14ac:dyDescent="0.35">
      <c r="A155" s="6">
        <v>156</v>
      </c>
      <c r="B155" s="6" t="s">
        <v>60</v>
      </c>
      <c r="C155" s="7" t="s">
        <v>433</v>
      </c>
      <c r="D155" s="8" t="s">
        <v>464</v>
      </c>
    </row>
    <row r="156" spans="1:4" ht="15" thickBot="1" x14ac:dyDescent="0.35">
      <c r="A156" s="6">
        <v>157</v>
      </c>
      <c r="B156" s="6" t="s">
        <v>524</v>
      </c>
      <c r="C156" s="7" t="s">
        <v>434</v>
      </c>
      <c r="D156" s="8" t="s">
        <v>464</v>
      </c>
    </row>
    <row r="157" spans="1:4" ht="15" thickBot="1" x14ac:dyDescent="0.35">
      <c r="A157" s="6">
        <v>158</v>
      </c>
      <c r="B157" s="6" t="s">
        <v>502</v>
      </c>
      <c r="C157" s="7" t="s">
        <v>434</v>
      </c>
      <c r="D157" s="8" t="s">
        <v>464</v>
      </c>
    </row>
    <row r="158" spans="1:4" ht="15" thickBot="1" x14ac:dyDescent="0.35">
      <c r="A158" s="6">
        <v>159</v>
      </c>
      <c r="B158" s="6" t="s">
        <v>186</v>
      </c>
      <c r="C158" s="7" t="s">
        <v>434</v>
      </c>
      <c r="D158" s="8" t="s">
        <v>464</v>
      </c>
    </row>
    <row r="159" spans="1:4" ht="15" thickBot="1" x14ac:dyDescent="0.35">
      <c r="A159" s="6">
        <v>160</v>
      </c>
      <c r="B159" s="6" t="s">
        <v>435</v>
      </c>
      <c r="C159" s="7" t="s">
        <v>434</v>
      </c>
      <c r="D159" s="8" t="s">
        <v>464</v>
      </c>
    </row>
    <row r="160" spans="1:4" ht="15" thickBot="1" x14ac:dyDescent="0.35">
      <c r="A160" s="6">
        <v>161</v>
      </c>
      <c r="B160" s="6" t="s">
        <v>490</v>
      </c>
      <c r="C160" s="7" t="s">
        <v>436</v>
      </c>
      <c r="D160" s="8" t="s">
        <v>464</v>
      </c>
    </row>
    <row r="161" spans="1:4" ht="15" thickBot="1" x14ac:dyDescent="0.35">
      <c r="A161" s="6">
        <v>162</v>
      </c>
      <c r="B161" s="6" t="s">
        <v>435</v>
      </c>
      <c r="C161" s="7" t="s">
        <v>436</v>
      </c>
      <c r="D161" s="8" t="s">
        <v>464</v>
      </c>
    </row>
    <row r="162" spans="1:4" ht="15" thickBot="1" x14ac:dyDescent="0.35">
      <c r="A162" s="6">
        <v>163</v>
      </c>
      <c r="B162" s="6" t="s">
        <v>437</v>
      </c>
      <c r="C162" s="7" t="s">
        <v>438</v>
      </c>
      <c r="D162" s="8" t="s">
        <v>464</v>
      </c>
    </row>
    <row r="163" spans="1:4" ht="15" thickBot="1" x14ac:dyDescent="0.35">
      <c r="A163" s="6">
        <v>164</v>
      </c>
      <c r="B163" s="6" t="s">
        <v>525</v>
      </c>
      <c r="C163" s="7" t="s">
        <v>438</v>
      </c>
      <c r="D163" s="8" t="s">
        <v>464</v>
      </c>
    </row>
    <row r="164" spans="1:4" ht="15" thickBot="1" x14ac:dyDescent="0.35">
      <c r="A164" s="6">
        <v>165</v>
      </c>
      <c r="B164" s="6" t="s">
        <v>394</v>
      </c>
      <c r="C164" s="7" t="s">
        <v>439</v>
      </c>
      <c r="D164" s="8" t="s">
        <v>464</v>
      </c>
    </row>
    <row r="165" spans="1:4" ht="15" thickBot="1" x14ac:dyDescent="0.35">
      <c r="A165" s="6">
        <v>166</v>
      </c>
      <c r="B165" s="6" t="s">
        <v>440</v>
      </c>
      <c r="C165" s="7" t="s">
        <v>439</v>
      </c>
      <c r="D165" s="8" t="s">
        <v>464</v>
      </c>
    </row>
    <row r="166" spans="1:4" ht="15" thickBot="1" x14ac:dyDescent="0.35">
      <c r="A166" s="6">
        <v>167</v>
      </c>
      <c r="B166" s="6" t="s">
        <v>401</v>
      </c>
      <c r="C166" s="7" t="s">
        <v>439</v>
      </c>
      <c r="D166" s="8" t="s">
        <v>464</v>
      </c>
    </row>
    <row r="167" spans="1:4" ht="15" thickBot="1" x14ac:dyDescent="0.35">
      <c r="A167" s="6">
        <v>168</v>
      </c>
      <c r="B167" s="6" t="s">
        <v>526</v>
      </c>
      <c r="C167" s="7" t="s">
        <v>441</v>
      </c>
      <c r="D167" s="8" t="s">
        <v>464</v>
      </c>
    </row>
    <row r="168" spans="1:4" ht="15" thickBot="1" x14ac:dyDescent="0.35">
      <c r="A168" s="6">
        <v>169</v>
      </c>
      <c r="B168" s="6" t="s">
        <v>442</v>
      </c>
      <c r="C168" s="7" t="s">
        <v>441</v>
      </c>
      <c r="D168" s="8" t="s">
        <v>464</v>
      </c>
    </row>
    <row r="169" spans="1:4" ht="15" thickBot="1" x14ac:dyDescent="0.35">
      <c r="A169" s="6">
        <v>170</v>
      </c>
      <c r="B169" s="6" t="s">
        <v>443</v>
      </c>
      <c r="C169" s="7" t="s">
        <v>441</v>
      </c>
      <c r="D169" s="8" t="s">
        <v>464</v>
      </c>
    </row>
    <row r="170" spans="1:4" ht="15" thickBot="1" x14ac:dyDescent="0.35">
      <c r="A170" s="6">
        <v>171</v>
      </c>
      <c r="B170" s="6" t="s">
        <v>527</v>
      </c>
      <c r="C170" s="7" t="s">
        <v>444</v>
      </c>
      <c r="D170" s="8" t="s">
        <v>464</v>
      </c>
    </row>
    <row r="171" spans="1:4" ht="15" thickBot="1" x14ac:dyDescent="0.35">
      <c r="A171" s="6">
        <v>172</v>
      </c>
      <c r="B171" s="6" t="s">
        <v>405</v>
      </c>
      <c r="C171" s="7" t="s">
        <v>444</v>
      </c>
      <c r="D171" s="8" t="s">
        <v>464</v>
      </c>
    </row>
    <row r="172" spans="1:4" ht="15" thickBot="1" x14ac:dyDescent="0.35">
      <c r="A172" s="6">
        <v>173</v>
      </c>
      <c r="B172" s="6" t="s">
        <v>513</v>
      </c>
      <c r="C172" s="7" t="s">
        <v>444</v>
      </c>
      <c r="D172" s="8" t="s">
        <v>464</v>
      </c>
    </row>
    <row r="173" spans="1:4" ht="15" thickBot="1" x14ac:dyDescent="0.35">
      <c r="A173" s="6">
        <v>174</v>
      </c>
      <c r="B173" s="6" t="s">
        <v>507</v>
      </c>
      <c r="C173" s="7" t="s">
        <v>445</v>
      </c>
      <c r="D173" s="8" t="s">
        <v>464</v>
      </c>
    </row>
    <row r="174" spans="1:4" ht="15" thickBot="1" x14ac:dyDescent="0.35">
      <c r="A174" s="6">
        <v>175</v>
      </c>
      <c r="B174" s="6" t="s">
        <v>405</v>
      </c>
      <c r="C174" s="7" t="s">
        <v>445</v>
      </c>
      <c r="D174" s="8" t="s">
        <v>464</v>
      </c>
    </row>
    <row r="175" spans="1:4" ht="15" thickBot="1" x14ac:dyDescent="0.35">
      <c r="A175" s="6">
        <v>176</v>
      </c>
      <c r="B175" s="6" t="s">
        <v>486</v>
      </c>
      <c r="C175" s="7" t="s">
        <v>446</v>
      </c>
      <c r="D175" s="8" t="s">
        <v>464</v>
      </c>
    </row>
    <row r="176" spans="1:4" ht="15" thickBot="1" x14ac:dyDescent="0.35">
      <c r="A176" s="6">
        <v>177</v>
      </c>
      <c r="B176" s="6" t="s">
        <v>447</v>
      </c>
      <c r="C176" s="7" t="s">
        <v>446</v>
      </c>
      <c r="D176" s="8" t="s">
        <v>464</v>
      </c>
    </row>
    <row r="177" spans="1:4" ht="15" thickBot="1" x14ac:dyDescent="0.35">
      <c r="A177" s="6">
        <v>178</v>
      </c>
      <c r="B177" s="6" t="s">
        <v>390</v>
      </c>
      <c r="C177" s="7" t="s">
        <v>446</v>
      </c>
      <c r="D177" s="8" t="s">
        <v>464</v>
      </c>
    </row>
    <row r="178" spans="1:4" ht="15" thickBot="1" x14ac:dyDescent="0.35">
      <c r="A178" s="6">
        <v>179</v>
      </c>
      <c r="B178" s="6" t="s">
        <v>448</v>
      </c>
      <c r="C178" s="7" t="s">
        <v>449</v>
      </c>
      <c r="D178" s="8" t="s">
        <v>464</v>
      </c>
    </row>
    <row r="179" spans="1:4" ht="15" thickBot="1" x14ac:dyDescent="0.35">
      <c r="A179" s="6">
        <v>180</v>
      </c>
      <c r="B179" s="6" t="s">
        <v>386</v>
      </c>
      <c r="C179" s="7" t="s">
        <v>449</v>
      </c>
      <c r="D179" s="8" t="s">
        <v>464</v>
      </c>
    </row>
    <row r="180" spans="1:4" ht="15" thickBot="1" x14ac:dyDescent="0.35">
      <c r="A180" s="6">
        <v>181</v>
      </c>
      <c r="B180" s="6" t="s">
        <v>35</v>
      </c>
      <c r="C180" s="7" t="s">
        <v>449</v>
      </c>
      <c r="D180" s="8" t="s">
        <v>464</v>
      </c>
    </row>
    <row r="181" spans="1:4" ht="15" thickBot="1" x14ac:dyDescent="0.35">
      <c r="A181" s="6">
        <v>182</v>
      </c>
      <c r="B181" s="6" t="s">
        <v>528</v>
      </c>
      <c r="C181" s="7" t="s">
        <v>450</v>
      </c>
      <c r="D181" s="8" t="s">
        <v>464</v>
      </c>
    </row>
    <row r="182" spans="1:4" ht="15" thickBot="1" x14ac:dyDescent="0.35">
      <c r="A182" s="6">
        <v>183</v>
      </c>
      <c r="B182" s="6" t="s">
        <v>398</v>
      </c>
      <c r="C182" s="7" t="s">
        <v>450</v>
      </c>
      <c r="D182" s="8" t="s">
        <v>464</v>
      </c>
    </row>
    <row r="183" spans="1:4" ht="15" thickBot="1" x14ac:dyDescent="0.35">
      <c r="A183" s="6">
        <v>184</v>
      </c>
      <c r="B183" s="6" t="s">
        <v>451</v>
      </c>
      <c r="C183" s="7" t="s">
        <v>450</v>
      </c>
      <c r="D183" s="8" t="s">
        <v>464</v>
      </c>
    </row>
    <row r="184" spans="1:4" ht="15" thickBot="1" x14ac:dyDescent="0.35">
      <c r="A184" s="6">
        <v>185</v>
      </c>
      <c r="B184" s="6" t="s">
        <v>398</v>
      </c>
      <c r="C184" s="7" t="s">
        <v>452</v>
      </c>
      <c r="D184" s="8" t="s">
        <v>464</v>
      </c>
    </row>
    <row r="185" spans="1:4" ht="15" thickBot="1" x14ac:dyDescent="0.35">
      <c r="A185" s="6">
        <v>186</v>
      </c>
      <c r="B185" s="6" t="s">
        <v>453</v>
      </c>
      <c r="C185" s="7" t="s">
        <v>452</v>
      </c>
      <c r="D185" s="8" t="s">
        <v>464</v>
      </c>
    </row>
    <row r="186" spans="1:4" ht="15" thickBot="1" x14ac:dyDescent="0.35">
      <c r="A186" s="6">
        <v>187</v>
      </c>
      <c r="B186" s="6" t="s">
        <v>529</v>
      </c>
      <c r="C186" s="7" t="s">
        <v>454</v>
      </c>
      <c r="D186" s="8" t="s">
        <v>464</v>
      </c>
    </row>
    <row r="187" spans="1:4" ht="15" thickBot="1" x14ac:dyDescent="0.35">
      <c r="A187" s="6">
        <v>188</v>
      </c>
      <c r="B187" s="6" t="s">
        <v>404</v>
      </c>
      <c r="C187" s="7" t="s">
        <v>454</v>
      </c>
      <c r="D187" s="8" t="s">
        <v>464</v>
      </c>
    </row>
    <row r="188" spans="1:4" ht="15" thickBot="1" x14ac:dyDescent="0.35">
      <c r="A188" s="6">
        <v>189</v>
      </c>
      <c r="B188" s="6" t="s">
        <v>455</v>
      </c>
      <c r="C188" s="7" t="s">
        <v>454</v>
      </c>
      <c r="D188" s="8" t="s">
        <v>464</v>
      </c>
    </row>
    <row r="189" spans="1:4" ht="15" thickBot="1" x14ac:dyDescent="0.35">
      <c r="A189" s="6">
        <v>190</v>
      </c>
      <c r="B189" s="6" t="s">
        <v>132</v>
      </c>
      <c r="C189" s="7" t="s">
        <v>456</v>
      </c>
      <c r="D189" s="8" t="s">
        <v>464</v>
      </c>
    </row>
  </sheetData>
  <autoFilter ref="A1:D1" xr:uid="{393CFF82-C487-49D6-8551-8D3F94D53CFC}">
    <sortState xmlns:xlrd2="http://schemas.microsoft.com/office/spreadsheetml/2017/richdata2" ref="A2:D19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6034-5770-40B7-8C19-DA0DDC197289}">
  <dimension ref="A1:F82"/>
  <sheetViews>
    <sheetView workbookViewId="0">
      <selection activeCell="F2" sqref="F2"/>
    </sheetView>
  </sheetViews>
  <sheetFormatPr defaultRowHeight="14.4" x14ac:dyDescent="0.3"/>
  <cols>
    <col min="6" max="6" width="23.77734375" bestFit="1" customWidth="1"/>
  </cols>
  <sheetData>
    <row r="1" spans="1:6" x14ac:dyDescent="0.3">
      <c r="A1" t="s">
        <v>301</v>
      </c>
      <c r="B1" t="s">
        <v>302</v>
      </c>
      <c r="C1" t="s">
        <v>300</v>
      </c>
      <c r="D1" t="s">
        <v>303</v>
      </c>
      <c r="E1" t="s">
        <v>304</v>
      </c>
      <c r="F1" t="s">
        <v>305</v>
      </c>
    </row>
    <row r="2" spans="1:6" x14ac:dyDescent="0.3">
      <c r="A2">
        <v>1</v>
      </c>
      <c r="B2" t="s">
        <v>4</v>
      </c>
      <c r="C2" t="s">
        <v>315</v>
      </c>
      <c r="D2">
        <v>2201670</v>
      </c>
      <c r="E2">
        <v>1</v>
      </c>
      <c r="F2" t="s">
        <v>306</v>
      </c>
    </row>
    <row r="3" spans="1:6" x14ac:dyDescent="0.3">
      <c r="A3">
        <v>2</v>
      </c>
      <c r="B3" t="s">
        <v>8</v>
      </c>
      <c r="C3" t="s">
        <v>316</v>
      </c>
      <c r="D3">
        <v>610484</v>
      </c>
      <c r="E3">
        <v>4</v>
      </c>
      <c r="F3" t="s">
        <v>307</v>
      </c>
    </row>
    <row r="4" spans="1:6" x14ac:dyDescent="0.3">
      <c r="A4">
        <v>3</v>
      </c>
      <c r="B4" t="s">
        <v>10</v>
      </c>
      <c r="C4" t="s">
        <v>316</v>
      </c>
      <c r="D4">
        <v>714523</v>
      </c>
      <c r="E4">
        <v>3</v>
      </c>
      <c r="F4" t="s">
        <v>308</v>
      </c>
    </row>
    <row r="5" spans="1:6" x14ac:dyDescent="0.3">
      <c r="A5">
        <v>4</v>
      </c>
      <c r="B5" t="s">
        <v>13</v>
      </c>
      <c r="C5" t="s">
        <v>316</v>
      </c>
      <c r="D5">
        <v>542255</v>
      </c>
      <c r="E5">
        <v>2</v>
      </c>
      <c r="F5" t="s">
        <v>309</v>
      </c>
    </row>
    <row r="6" spans="1:6" x14ac:dyDescent="0.3">
      <c r="A6">
        <v>5</v>
      </c>
      <c r="B6" t="s">
        <v>17</v>
      </c>
      <c r="C6" t="s">
        <v>316</v>
      </c>
      <c r="D6">
        <v>326351</v>
      </c>
      <c r="E6">
        <v>6</v>
      </c>
      <c r="F6" t="s">
        <v>310</v>
      </c>
    </row>
    <row r="7" spans="1:6" x14ac:dyDescent="0.3">
      <c r="A7">
        <v>6</v>
      </c>
      <c r="B7" t="s">
        <v>292</v>
      </c>
      <c r="C7" t="s">
        <v>315</v>
      </c>
      <c r="D7">
        <v>5346518</v>
      </c>
      <c r="E7">
        <v>5</v>
      </c>
      <c r="F7" t="s">
        <v>311</v>
      </c>
    </row>
    <row r="8" spans="1:6" x14ac:dyDescent="0.3">
      <c r="A8">
        <v>7</v>
      </c>
      <c r="B8" t="s">
        <v>44</v>
      </c>
      <c r="C8" t="s">
        <v>315</v>
      </c>
      <c r="D8">
        <v>2328555</v>
      </c>
      <c r="E8">
        <v>1</v>
      </c>
      <c r="F8" t="s">
        <v>306</v>
      </c>
    </row>
    <row r="9" spans="1:6" x14ac:dyDescent="0.3">
      <c r="A9">
        <v>8</v>
      </c>
      <c r="B9" t="s">
        <v>52</v>
      </c>
      <c r="C9" t="s">
        <v>316</v>
      </c>
      <c r="D9">
        <v>168068</v>
      </c>
      <c r="E9">
        <v>6</v>
      </c>
      <c r="F9" t="s">
        <v>310</v>
      </c>
    </row>
    <row r="10" spans="1:6" x14ac:dyDescent="0.3">
      <c r="A10">
        <v>9</v>
      </c>
      <c r="B10" t="s">
        <v>54</v>
      </c>
      <c r="C10" t="s">
        <v>315</v>
      </c>
      <c r="D10">
        <v>1068260</v>
      </c>
      <c r="E10">
        <v>3</v>
      </c>
      <c r="F10" t="s">
        <v>308</v>
      </c>
    </row>
    <row r="11" spans="1:6" x14ac:dyDescent="0.3">
      <c r="A11">
        <v>10</v>
      </c>
      <c r="B11" t="s">
        <v>56</v>
      </c>
      <c r="C11" t="s">
        <v>315</v>
      </c>
      <c r="D11">
        <v>1196176</v>
      </c>
      <c r="E11">
        <v>7</v>
      </c>
      <c r="F11" t="s">
        <v>312</v>
      </c>
    </row>
    <row r="12" spans="1:6" x14ac:dyDescent="0.3">
      <c r="A12">
        <v>11</v>
      </c>
      <c r="B12" t="s">
        <v>65</v>
      </c>
      <c r="C12" t="s">
        <v>316</v>
      </c>
      <c r="D12">
        <v>218297</v>
      </c>
      <c r="E12">
        <v>7</v>
      </c>
      <c r="F12" t="s">
        <v>312</v>
      </c>
    </row>
    <row r="13" spans="1:6" x14ac:dyDescent="0.3">
      <c r="A13">
        <v>12</v>
      </c>
      <c r="B13" t="s">
        <v>67</v>
      </c>
      <c r="C13" t="s">
        <v>316</v>
      </c>
      <c r="D13">
        <v>269560</v>
      </c>
      <c r="E13">
        <v>2</v>
      </c>
      <c r="F13" t="s">
        <v>309</v>
      </c>
    </row>
    <row r="14" spans="1:6" x14ac:dyDescent="0.3">
      <c r="A14">
        <v>13</v>
      </c>
      <c r="B14" t="s">
        <v>69</v>
      </c>
      <c r="C14" t="s">
        <v>316</v>
      </c>
      <c r="D14">
        <v>341225</v>
      </c>
      <c r="E14">
        <v>2</v>
      </c>
      <c r="F14" t="s">
        <v>309</v>
      </c>
    </row>
    <row r="15" spans="1:6" x14ac:dyDescent="0.3">
      <c r="A15">
        <v>14</v>
      </c>
      <c r="B15" t="s">
        <v>71</v>
      </c>
      <c r="C15" t="s">
        <v>316</v>
      </c>
      <c r="D15">
        <v>299896</v>
      </c>
      <c r="E15">
        <v>6</v>
      </c>
      <c r="F15" t="s">
        <v>310</v>
      </c>
    </row>
    <row r="16" spans="1:6" x14ac:dyDescent="0.3">
      <c r="A16">
        <v>15</v>
      </c>
      <c r="B16" t="s">
        <v>73</v>
      </c>
      <c r="C16" t="s">
        <v>316</v>
      </c>
      <c r="D16">
        <v>261401</v>
      </c>
      <c r="E16">
        <v>1</v>
      </c>
      <c r="F16" t="s">
        <v>306</v>
      </c>
    </row>
    <row r="17" spans="1:6" x14ac:dyDescent="0.3">
      <c r="A17">
        <v>16</v>
      </c>
      <c r="B17" t="s">
        <v>75</v>
      </c>
      <c r="C17" t="s">
        <v>315</v>
      </c>
      <c r="D17">
        <v>2901396</v>
      </c>
      <c r="E17">
        <v>7</v>
      </c>
      <c r="F17" t="s">
        <v>312</v>
      </c>
    </row>
    <row r="18" spans="1:6" x14ac:dyDescent="0.3">
      <c r="A18">
        <v>17</v>
      </c>
      <c r="B18" t="s">
        <v>79</v>
      </c>
      <c r="C18" t="s">
        <v>316</v>
      </c>
      <c r="D18">
        <v>519793</v>
      </c>
      <c r="E18">
        <v>7</v>
      </c>
      <c r="F18" t="s">
        <v>312</v>
      </c>
    </row>
    <row r="19" spans="1:6" x14ac:dyDescent="0.3">
      <c r="A19">
        <v>18</v>
      </c>
      <c r="B19" t="s">
        <v>81</v>
      </c>
      <c r="C19" t="s">
        <v>316</v>
      </c>
      <c r="D19">
        <v>183880</v>
      </c>
      <c r="E19">
        <v>5</v>
      </c>
      <c r="F19" t="s">
        <v>311</v>
      </c>
    </row>
    <row r="20" spans="1:6" x14ac:dyDescent="0.3">
      <c r="A20">
        <v>19</v>
      </c>
      <c r="B20" t="s">
        <v>83</v>
      </c>
      <c r="C20" t="s">
        <v>316</v>
      </c>
      <c r="D20">
        <v>527863</v>
      </c>
      <c r="E20">
        <v>6</v>
      </c>
      <c r="F20" t="s">
        <v>310</v>
      </c>
    </row>
    <row r="21" spans="1:6" x14ac:dyDescent="0.3">
      <c r="A21">
        <v>20</v>
      </c>
      <c r="B21" t="s">
        <v>85</v>
      </c>
      <c r="C21" t="s">
        <v>315</v>
      </c>
      <c r="D21">
        <v>1005687</v>
      </c>
      <c r="E21">
        <v>3</v>
      </c>
      <c r="F21" t="s">
        <v>308</v>
      </c>
    </row>
    <row r="22" spans="1:6" x14ac:dyDescent="0.3">
      <c r="A22">
        <v>21</v>
      </c>
      <c r="B22" t="s">
        <v>87</v>
      </c>
      <c r="C22" t="s">
        <v>315</v>
      </c>
      <c r="D22">
        <v>1673119</v>
      </c>
      <c r="E22">
        <v>4</v>
      </c>
      <c r="F22" t="s">
        <v>307</v>
      </c>
    </row>
    <row r="23" spans="1:6" x14ac:dyDescent="0.3">
      <c r="A23">
        <v>22</v>
      </c>
      <c r="B23" t="s">
        <v>91</v>
      </c>
      <c r="C23" t="s">
        <v>316</v>
      </c>
      <c r="D23">
        <v>401701</v>
      </c>
      <c r="E23">
        <v>7</v>
      </c>
      <c r="F23" t="s">
        <v>312</v>
      </c>
    </row>
    <row r="24" spans="1:6" x14ac:dyDescent="0.3">
      <c r="A24">
        <v>23</v>
      </c>
      <c r="B24" t="s">
        <v>93</v>
      </c>
      <c r="C24" t="s">
        <v>316</v>
      </c>
      <c r="D24">
        <v>578789</v>
      </c>
      <c r="E24">
        <v>2</v>
      </c>
      <c r="F24" t="s">
        <v>309</v>
      </c>
    </row>
    <row r="25" spans="1:6" x14ac:dyDescent="0.3">
      <c r="A25">
        <v>24</v>
      </c>
      <c r="B25" t="s">
        <v>95</v>
      </c>
      <c r="C25" t="s">
        <v>316</v>
      </c>
      <c r="D25">
        <v>226032</v>
      </c>
      <c r="E25">
        <v>2</v>
      </c>
      <c r="F25" t="s">
        <v>309</v>
      </c>
    </row>
    <row r="26" spans="1:6" x14ac:dyDescent="0.3">
      <c r="A26">
        <v>25</v>
      </c>
      <c r="B26" t="s">
        <v>97</v>
      </c>
      <c r="C26" t="s">
        <v>315</v>
      </c>
      <c r="D26">
        <v>762021</v>
      </c>
      <c r="E26">
        <v>2</v>
      </c>
      <c r="F26" t="s">
        <v>309</v>
      </c>
    </row>
    <row r="27" spans="1:6" x14ac:dyDescent="0.3">
      <c r="A27">
        <v>26</v>
      </c>
      <c r="B27" t="s">
        <v>100</v>
      </c>
      <c r="C27" t="s">
        <v>315</v>
      </c>
      <c r="D27">
        <v>844842</v>
      </c>
      <c r="E27">
        <v>5</v>
      </c>
      <c r="F27" t="s">
        <v>311</v>
      </c>
    </row>
    <row r="28" spans="1:6" x14ac:dyDescent="0.3">
      <c r="A28">
        <v>27</v>
      </c>
      <c r="B28" t="s">
        <v>104</v>
      </c>
      <c r="C28" t="s">
        <v>315</v>
      </c>
      <c r="D28">
        <v>1974244</v>
      </c>
      <c r="E28">
        <v>4</v>
      </c>
      <c r="F28" t="s">
        <v>307</v>
      </c>
    </row>
    <row r="29" spans="1:6" x14ac:dyDescent="0.3">
      <c r="A29">
        <v>28</v>
      </c>
      <c r="B29" t="s">
        <v>109</v>
      </c>
      <c r="C29" t="s">
        <v>316</v>
      </c>
      <c r="D29">
        <v>444467</v>
      </c>
      <c r="E29">
        <v>6</v>
      </c>
      <c r="F29" t="s">
        <v>310</v>
      </c>
    </row>
    <row r="30" spans="1:6" x14ac:dyDescent="0.3">
      <c r="A30">
        <v>29</v>
      </c>
      <c r="B30" t="s">
        <v>111</v>
      </c>
      <c r="C30" t="s">
        <v>316</v>
      </c>
      <c r="D30">
        <v>172034</v>
      </c>
      <c r="E30">
        <v>6</v>
      </c>
      <c r="F30" t="s">
        <v>310</v>
      </c>
    </row>
    <row r="31" spans="1:6" x14ac:dyDescent="0.3">
      <c r="A31">
        <v>30</v>
      </c>
      <c r="B31" t="s">
        <v>313</v>
      </c>
      <c r="C31" t="s">
        <v>316</v>
      </c>
      <c r="D31">
        <v>267813</v>
      </c>
      <c r="E31">
        <v>2</v>
      </c>
      <c r="F31" t="s">
        <v>309</v>
      </c>
    </row>
    <row r="32" spans="1:6" x14ac:dyDescent="0.3">
      <c r="A32">
        <v>31</v>
      </c>
      <c r="B32" t="s">
        <v>114</v>
      </c>
      <c r="C32" t="s">
        <v>315</v>
      </c>
      <c r="D32">
        <v>1555165</v>
      </c>
      <c r="E32">
        <v>1</v>
      </c>
      <c r="F32" t="s">
        <v>306</v>
      </c>
    </row>
    <row r="33" spans="1:6" x14ac:dyDescent="0.3">
      <c r="A33">
        <v>32</v>
      </c>
      <c r="B33" t="s">
        <v>119</v>
      </c>
      <c r="C33" t="s">
        <v>316</v>
      </c>
      <c r="D33">
        <v>427324</v>
      </c>
      <c r="E33">
        <v>1</v>
      </c>
      <c r="F33" t="s">
        <v>306</v>
      </c>
    </row>
    <row r="34" spans="1:6" x14ac:dyDescent="0.3">
      <c r="A34">
        <v>33</v>
      </c>
      <c r="B34" t="s">
        <v>235</v>
      </c>
      <c r="C34" t="s">
        <v>315</v>
      </c>
      <c r="D34">
        <v>1773852</v>
      </c>
      <c r="E34">
        <v>1</v>
      </c>
      <c r="F34" t="s">
        <v>306</v>
      </c>
    </row>
    <row r="35" spans="1:6" x14ac:dyDescent="0.3">
      <c r="A35">
        <v>34</v>
      </c>
      <c r="B35" t="s">
        <v>122</v>
      </c>
      <c r="C35" t="s">
        <v>315</v>
      </c>
      <c r="D35">
        <v>14804116</v>
      </c>
      <c r="E35">
        <v>7</v>
      </c>
      <c r="F35" t="s">
        <v>312</v>
      </c>
    </row>
    <row r="36" spans="1:6" x14ac:dyDescent="0.3">
      <c r="A36">
        <v>35</v>
      </c>
      <c r="B36" t="s">
        <v>181</v>
      </c>
      <c r="C36" t="s">
        <v>315</v>
      </c>
      <c r="D36">
        <v>4223545</v>
      </c>
      <c r="E36">
        <v>3</v>
      </c>
      <c r="F36" t="s">
        <v>308</v>
      </c>
    </row>
    <row r="37" spans="1:6" x14ac:dyDescent="0.3">
      <c r="A37">
        <v>36</v>
      </c>
      <c r="B37" t="s">
        <v>198</v>
      </c>
      <c r="C37" t="s">
        <v>316</v>
      </c>
      <c r="D37">
        <v>289786</v>
      </c>
      <c r="E37">
        <v>2</v>
      </c>
      <c r="F37" t="s">
        <v>309</v>
      </c>
    </row>
    <row r="38" spans="1:6" x14ac:dyDescent="0.3">
      <c r="A38">
        <v>37</v>
      </c>
      <c r="B38" t="s">
        <v>200</v>
      </c>
      <c r="C38" t="s">
        <v>316</v>
      </c>
      <c r="D38">
        <v>376945</v>
      </c>
      <c r="E38">
        <v>6</v>
      </c>
      <c r="F38" t="s">
        <v>310</v>
      </c>
    </row>
    <row r="39" spans="1:6" x14ac:dyDescent="0.3">
      <c r="A39">
        <v>38</v>
      </c>
      <c r="B39" t="s">
        <v>202</v>
      </c>
      <c r="C39" t="s">
        <v>315</v>
      </c>
      <c r="D39">
        <v>1358980</v>
      </c>
      <c r="E39">
        <v>5</v>
      </c>
      <c r="F39" t="s">
        <v>311</v>
      </c>
    </row>
    <row r="40" spans="1:6" x14ac:dyDescent="0.3">
      <c r="A40">
        <v>39</v>
      </c>
      <c r="B40" t="s">
        <v>209</v>
      </c>
      <c r="C40" t="s">
        <v>316</v>
      </c>
      <c r="D40">
        <v>351684</v>
      </c>
      <c r="E40">
        <v>7</v>
      </c>
      <c r="F40" t="s">
        <v>312</v>
      </c>
    </row>
    <row r="41" spans="1:6" x14ac:dyDescent="0.3">
      <c r="A41">
        <v>40</v>
      </c>
      <c r="B41" t="s">
        <v>211</v>
      </c>
      <c r="C41" t="s">
        <v>316</v>
      </c>
      <c r="D41">
        <v>229975</v>
      </c>
      <c r="E41">
        <v>5</v>
      </c>
      <c r="F41" t="s">
        <v>311</v>
      </c>
    </row>
    <row r="42" spans="1:6" x14ac:dyDescent="0.3">
      <c r="A42">
        <v>41</v>
      </c>
      <c r="B42" t="s">
        <v>215</v>
      </c>
      <c r="C42" t="s">
        <v>315</v>
      </c>
      <c r="D42">
        <v>1830772</v>
      </c>
      <c r="E42">
        <v>7</v>
      </c>
      <c r="F42" t="s">
        <v>312</v>
      </c>
    </row>
    <row r="43" spans="1:6" x14ac:dyDescent="0.3">
      <c r="A43">
        <v>42</v>
      </c>
      <c r="B43" t="s">
        <v>219</v>
      </c>
      <c r="C43" t="s">
        <v>315</v>
      </c>
      <c r="D43">
        <v>2161303</v>
      </c>
      <c r="E43">
        <v>5</v>
      </c>
      <c r="F43" t="s">
        <v>311</v>
      </c>
    </row>
    <row r="44" spans="1:6" x14ac:dyDescent="0.3">
      <c r="A44">
        <v>43</v>
      </c>
      <c r="B44" t="s">
        <v>225</v>
      </c>
      <c r="C44" t="s">
        <v>316</v>
      </c>
      <c r="D44">
        <v>573642</v>
      </c>
      <c r="E44">
        <v>3</v>
      </c>
      <c r="F44" t="s">
        <v>308</v>
      </c>
    </row>
    <row r="45" spans="1:6" x14ac:dyDescent="0.3">
      <c r="A45">
        <v>44</v>
      </c>
      <c r="B45" t="s">
        <v>228</v>
      </c>
      <c r="C45" t="s">
        <v>315</v>
      </c>
      <c r="D45">
        <v>781305</v>
      </c>
      <c r="E45">
        <v>2</v>
      </c>
      <c r="F45" t="s">
        <v>309</v>
      </c>
    </row>
    <row r="46" spans="1:6" x14ac:dyDescent="0.3">
      <c r="A46">
        <v>45</v>
      </c>
      <c r="B46" t="s">
        <v>231</v>
      </c>
      <c r="C46" t="s">
        <v>315</v>
      </c>
      <c r="D46">
        <v>1396945</v>
      </c>
      <c r="E46">
        <v>3</v>
      </c>
      <c r="F46" t="s">
        <v>308</v>
      </c>
    </row>
    <row r="47" spans="1:6" x14ac:dyDescent="0.3">
      <c r="A47">
        <v>46</v>
      </c>
      <c r="B47" t="s">
        <v>191</v>
      </c>
      <c r="C47" t="s">
        <v>315</v>
      </c>
      <c r="D47">
        <v>1112634</v>
      </c>
      <c r="E47">
        <v>1</v>
      </c>
      <c r="F47" t="s">
        <v>306</v>
      </c>
    </row>
    <row r="48" spans="1:6" x14ac:dyDescent="0.3">
      <c r="A48">
        <v>47</v>
      </c>
      <c r="B48" t="s">
        <v>233</v>
      </c>
      <c r="C48" t="s">
        <v>315</v>
      </c>
      <c r="D48">
        <v>796237</v>
      </c>
      <c r="E48">
        <v>4</v>
      </c>
      <c r="F48" t="s">
        <v>307</v>
      </c>
    </row>
    <row r="49" spans="1:6" x14ac:dyDescent="0.3">
      <c r="A49">
        <v>48</v>
      </c>
      <c r="B49" t="s">
        <v>240</v>
      </c>
      <c r="C49" t="s">
        <v>315</v>
      </c>
      <c r="D49">
        <v>923773</v>
      </c>
      <c r="E49">
        <v>3</v>
      </c>
      <c r="F49" t="s">
        <v>308</v>
      </c>
    </row>
    <row r="50" spans="1:6" x14ac:dyDescent="0.3">
      <c r="A50">
        <v>49</v>
      </c>
      <c r="B50" t="s">
        <v>242</v>
      </c>
      <c r="C50" t="s">
        <v>316</v>
      </c>
      <c r="D50">
        <v>406501</v>
      </c>
      <c r="E50">
        <v>2</v>
      </c>
      <c r="F50" t="s">
        <v>309</v>
      </c>
    </row>
    <row r="51" spans="1:6" x14ac:dyDescent="0.3">
      <c r="A51">
        <v>50</v>
      </c>
      <c r="B51" t="s">
        <v>244</v>
      </c>
      <c r="C51" t="s">
        <v>316</v>
      </c>
      <c r="D51">
        <v>290895</v>
      </c>
      <c r="E51">
        <v>5</v>
      </c>
      <c r="F51" t="s">
        <v>311</v>
      </c>
    </row>
    <row r="52" spans="1:6" x14ac:dyDescent="0.3">
      <c r="A52">
        <v>51</v>
      </c>
      <c r="B52" t="s">
        <v>247</v>
      </c>
      <c r="C52" t="s">
        <v>316</v>
      </c>
      <c r="D52">
        <v>351468</v>
      </c>
      <c r="E52">
        <v>5</v>
      </c>
      <c r="F52" t="s">
        <v>311</v>
      </c>
    </row>
    <row r="53" spans="1:6" x14ac:dyDescent="0.3">
      <c r="A53">
        <v>52</v>
      </c>
      <c r="B53" t="s">
        <v>249</v>
      </c>
      <c r="C53" t="s">
        <v>315</v>
      </c>
      <c r="D53">
        <v>750588</v>
      </c>
      <c r="E53">
        <v>6</v>
      </c>
      <c r="F53" t="s">
        <v>310</v>
      </c>
    </row>
    <row r="54" spans="1:6" x14ac:dyDescent="0.3">
      <c r="A54">
        <v>53</v>
      </c>
      <c r="B54" t="s">
        <v>253</v>
      </c>
      <c r="C54" t="s">
        <v>316</v>
      </c>
      <c r="D54">
        <v>331048</v>
      </c>
      <c r="E54">
        <v>6</v>
      </c>
      <c r="F54" t="s">
        <v>310</v>
      </c>
    </row>
    <row r="55" spans="1:6" x14ac:dyDescent="0.3">
      <c r="A55">
        <v>54</v>
      </c>
      <c r="B55" t="s">
        <v>255</v>
      </c>
      <c r="C55" t="s">
        <v>315</v>
      </c>
      <c r="D55">
        <v>976948</v>
      </c>
      <c r="E55">
        <v>7</v>
      </c>
      <c r="F55" t="s">
        <v>312</v>
      </c>
    </row>
    <row r="56" spans="1:6" x14ac:dyDescent="0.3">
      <c r="A56">
        <v>55</v>
      </c>
      <c r="B56" t="s">
        <v>258</v>
      </c>
      <c r="C56" t="s">
        <v>315</v>
      </c>
      <c r="D56">
        <v>1295927</v>
      </c>
      <c r="E56">
        <v>6</v>
      </c>
      <c r="F56" t="s">
        <v>310</v>
      </c>
    </row>
    <row r="57" spans="1:6" x14ac:dyDescent="0.3">
      <c r="A57">
        <v>56</v>
      </c>
      <c r="B57" t="s">
        <v>261</v>
      </c>
      <c r="C57" t="s">
        <v>316</v>
      </c>
      <c r="D57">
        <v>322664</v>
      </c>
      <c r="E57">
        <v>4</v>
      </c>
      <c r="F57" t="s">
        <v>307</v>
      </c>
    </row>
    <row r="58" spans="1:6" x14ac:dyDescent="0.3">
      <c r="A58">
        <v>57</v>
      </c>
      <c r="B58" t="s">
        <v>263</v>
      </c>
      <c r="C58" t="s">
        <v>316</v>
      </c>
      <c r="D58">
        <v>205478</v>
      </c>
      <c r="E58">
        <v>6</v>
      </c>
      <c r="F58" t="s">
        <v>310</v>
      </c>
    </row>
    <row r="59" spans="1:6" x14ac:dyDescent="0.3">
      <c r="A59">
        <v>58</v>
      </c>
      <c r="B59" t="s">
        <v>265</v>
      </c>
      <c r="C59" t="s">
        <v>316</v>
      </c>
      <c r="D59">
        <v>621224</v>
      </c>
      <c r="E59">
        <v>5</v>
      </c>
      <c r="F59" t="s">
        <v>311</v>
      </c>
    </row>
    <row r="60" spans="1:6" x14ac:dyDescent="0.3">
      <c r="A60">
        <v>59</v>
      </c>
      <c r="B60" t="s">
        <v>272</v>
      </c>
      <c r="C60" t="s">
        <v>315</v>
      </c>
      <c r="D60">
        <v>972875</v>
      </c>
      <c r="E60">
        <v>7</v>
      </c>
      <c r="F60" t="s">
        <v>312</v>
      </c>
    </row>
    <row r="61" spans="1:6" x14ac:dyDescent="0.3">
      <c r="A61">
        <v>60</v>
      </c>
      <c r="B61" t="s">
        <v>274</v>
      </c>
      <c r="C61" t="s">
        <v>316</v>
      </c>
      <c r="D61">
        <v>602662</v>
      </c>
      <c r="E61">
        <v>6</v>
      </c>
      <c r="F61" t="s">
        <v>310</v>
      </c>
    </row>
    <row r="62" spans="1:6" x14ac:dyDescent="0.3">
      <c r="A62">
        <v>61</v>
      </c>
      <c r="B62" t="s">
        <v>276</v>
      </c>
      <c r="C62" t="s">
        <v>315</v>
      </c>
      <c r="D62">
        <v>779379</v>
      </c>
      <c r="E62">
        <v>6</v>
      </c>
      <c r="F62" t="s">
        <v>310</v>
      </c>
    </row>
    <row r="63" spans="1:6" x14ac:dyDescent="0.3">
      <c r="A63">
        <v>62</v>
      </c>
      <c r="B63" t="s">
        <v>280</v>
      </c>
      <c r="C63" t="s">
        <v>316</v>
      </c>
      <c r="D63">
        <v>82193</v>
      </c>
      <c r="E63">
        <v>2</v>
      </c>
      <c r="F63" t="s">
        <v>309</v>
      </c>
    </row>
    <row r="64" spans="1:6" x14ac:dyDescent="0.3">
      <c r="A64">
        <v>63</v>
      </c>
      <c r="B64" t="s">
        <v>268</v>
      </c>
      <c r="C64" t="s">
        <v>315</v>
      </c>
      <c r="D64">
        <v>1940627</v>
      </c>
      <c r="E64">
        <v>4</v>
      </c>
      <c r="F64" t="s">
        <v>307</v>
      </c>
    </row>
    <row r="65" spans="1:6" x14ac:dyDescent="0.3">
      <c r="A65">
        <v>64</v>
      </c>
      <c r="B65" t="s">
        <v>282</v>
      </c>
      <c r="C65" t="s">
        <v>316</v>
      </c>
      <c r="D65">
        <v>358736</v>
      </c>
      <c r="E65">
        <v>3</v>
      </c>
      <c r="F65" t="s">
        <v>308</v>
      </c>
    </row>
    <row r="66" spans="1:6" x14ac:dyDescent="0.3">
      <c r="A66">
        <v>65</v>
      </c>
      <c r="B66" t="s">
        <v>284</v>
      </c>
      <c r="C66" t="s">
        <v>315</v>
      </c>
      <c r="D66">
        <v>1100190</v>
      </c>
      <c r="E66">
        <v>2</v>
      </c>
      <c r="F66" t="s">
        <v>309</v>
      </c>
    </row>
    <row r="67" spans="1:6" x14ac:dyDescent="0.3">
      <c r="A67">
        <v>66</v>
      </c>
      <c r="B67" t="s">
        <v>288</v>
      </c>
      <c r="C67" t="s">
        <v>316</v>
      </c>
      <c r="D67">
        <v>421041</v>
      </c>
      <c r="E67">
        <v>5</v>
      </c>
      <c r="F67" t="s">
        <v>311</v>
      </c>
    </row>
    <row r="68" spans="1:6" x14ac:dyDescent="0.3">
      <c r="A68">
        <v>67</v>
      </c>
      <c r="B68" t="s">
        <v>290</v>
      </c>
      <c r="C68" t="s">
        <v>316</v>
      </c>
      <c r="D68">
        <v>597524</v>
      </c>
      <c r="E68">
        <v>6</v>
      </c>
      <c r="F68" t="s">
        <v>310</v>
      </c>
    </row>
    <row r="69" spans="1:6" x14ac:dyDescent="0.3">
      <c r="A69">
        <v>68</v>
      </c>
      <c r="B69" t="s">
        <v>15</v>
      </c>
      <c r="C69" t="s">
        <v>316</v>
      </c>
      <c r="D69">
        <v>396673</v>
      </c>
      <c r="E69">
        <v>5</v>
      </c>
      <c r="F69" t="s">
        <v>311</v>
      </c>
    </row>
    <row r="70" spans="1:6" x14ac:dyDescent="0.3">
      <c r="A70">
        <v>69</v>
      </c>
      <c r="B70" t="s">
        <v>63</v>
      </c>
      <c r="C70" t="s">
        <v>316</v>
      </c>
      <c r="D70">
        <v>90154</v>
      </c>
      <c r="E70">
        <v>6</v>
      </c>
      <c r="F70" t="s">
        <v>310</v>
      </c>
    </row>
    <row r="71" spans="1:6" x14ac:dyDescent="0.3">
      <c r="A71">
        <v>70</v>
      </c>
      <c r="B71" t="s">
        <v>196</v>
      </c>
      <c r="C71" t="s">
        <v>316</v>
      </c>
      <c r="D71">
        <v>245610</v>
      </c>
      <c r="E71">
        <v>5</v>
      </c>
      <c r="F71" t="s">
        <v>311</v>
      </c>
    </row>
    <row r="72" spans="1:6" x14ac:dyDescent="0.3">
      <c r="A72">
        <v>71</v>
      </c>
      <c r="B72" t="s">
        <v>207</v>
      </c>
      <c r="C72" t="s">
        <v>316</v>
      </c>
      <c r="D72">
        <v>277984</v>
      </c>
      <c r="E72">
        <v>5</v>
      </c>
      <c r="F72" t="s">
        <v>311</v>
      </c>
    </row>
    <row r="73" spans="1:6" x14ac:dyDescent="0.3">
      <c r="A73">
        <v>72</v>
      </c>
      <c r="B73" t="s">
        <v>61</v>
      </c>
      <c r="C73" t="s">
        <v>316</v>
      </c>
      <c r="D73">
        <v>576899</v>
      </c>
      <c r="E73">
        <v>4</v>
      </c>
      <c r="F73" t="s">
        <v>307</v>
      </c>
    </row>
    <row r="74" spans="1:6" x14ac:dyDescent="0.3">
      <c r="A74">
        <v>73</v>
      </c>
      <c r="B74" t="s">
        <v>270</v>
      </c>
      <c r="C74" t="s">
        <v>316</v>
      </c>
      <c r="D74">
        <v>483788</v>
      </c>
      <c r="E74">
        <v>4</v>
      </c>
      <c r="F74" t="s">
        <v>307</v>
      </c>
    </row>
    <row r="75" spans="1:6" x14ac:dyDescent="0.3">
      <c r="A75">
        <v>74</v>
      </c>
      <c r="B75" t="s">
        <v>59</v>
      </c>
      <c r="C75" t="s">
        <v>316</v>
      </c>
      <c r="D75">
        <v>192389</v>
      </c>
      <c r="E75">
        <v>6</v>
      </c>
      <c r="F75" t="s">
        <v>310</v>
      </c>
    </row>
    <row r="76" spans="1:6" x14ac:dyDescent="0.3">
      <c r="A76">
        <v>75</v>
      </c>
      <c r="B76" t="s">
        <v>50</v>
      </c>
      <c r="C76" t="s">
        <v>316</v>
      </c>
      <c r="D76">
        <v>98335</v>
      </c>
      <c r="E76">
        <v>2</v>
      </c>
      <c r="F76" t="s">
        <v>309</v>
      </c>
    </row>
    <row r="77" spans="1:6" x14ac:dyDescent="0.3">
      <c r="A77">
        <v>76</v>
      </c>
      <c r="B77" t="s">
        <v>117</v>
      </c>
      <c r="C77" t="s">
        <v>316</v>
      </c>
      <c r="D77">
        <v>192785</v>
      </c>
      <c r="E77">
        <v>2</v>
      </c>
      <c r="F77" t="s">
        <v>309</v>
      </c>
    </row>
    <row r="78" spans="1:6" x14ac:dyDescent="0.3">
      <c r="A78">
        <v>77</v>
      </c>
      <c r="B78" t="s">
        <v>286</v>
      </c>
      <c r="C78" t="s">
        <v>316</v>
      </c>
      <c r="D78">
        <v>241665</v>
      </c>
      <c r="E78">
        <v>7</v>
      </c>
      <c r="F78" t="s">
        <v>312</v>
      </c>
    </row>
    <row r="79" spans="1:6" x14ac:dyDescent="0.3">
      <c r="A79">
        <v>78</v>
      </c>
      <c r="B79" t="s">
        <v>194</v>
      </c>
      <c r="C79" t="s">
        <v>316</v>
      </c>
      <c r="D79">
        <v>242347</v>
      </c>
      <c r="E79">
        <v>6</v>
      </c>
      <c r="F79" t="s">
        <v>310</v>
      </c>
    </row>
    <row r="80" spans="1:6" x14ac:dyDescent="0.3">
      <c r="A80">
        <v>79</v>
      </c>
      <c r="B80" t="s">
        <v>213</v>
      </c>
      <c r="C80" t="s">
        <v>316</v>
      </c>
      <c r="D80">
        <v>130825</v>
      </c>
      <c r="E80">
        <v>4</v>
      </c>
      <c r="F80" t="s">
        <v>307</v>
      </c>
    </row>
    <row r="81" spans="1:6" x14ac:dyDescent="0.3">
      <c r="A81">
        <v>80</v>
      </c>
      <c r="B81" t="s">
        <v>251</v>
      </c>
      <c r="C81" t="s">
        <v>316</v>
      </c>
      <c r="D81">
        <v>522175</v>
      </c>
      <c r="E81">
        <v>1</v>
      </c>
      <c r="F81" t="s">
        <v>306</v>
      </c>
    </row>
    <row r="82" spans="1:6" x14ac:dyDescent="0.3">
      <c r="A82">
        <v>81</v>
      </c>
      <c r="B82" t="s">
        <v>89</v>
      </c>
      <c r="C82" t="s">
        <v>316</v>
      </c>
      <c r="D82">
        <v>370371</v>
      </c>
      <c r="E82">
        <v>6</v>
      </c>
      <c r="F82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Üniversiteler</vt:lpstr>
      <vt:lpstr>Sheet1</vt:lpstr>
      <vt:lpstr>Bölgeler</vt:lpstr>
    </vt:vector>
  </TitlesOfParts>
  <Company>Aselsan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Görkem AKSOY</dc:creator>
  <cp:keywords>Gizlilik Derecesini Seçiniz</cp:keywords>
  <cp:lastModifiedBy>Görkem AKSOY</cp:lastModifiedBy>
  <dcterms:created xsi:type="dcterms:W3CDTF">2023-02-09T11:00:57Z</dcterms:created>
  <dcterms:modified xsi:type="dcterms:W3CDTF">2023-02-15T16:31:58Z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ef3b7d03-7ade-42ce-9d5d-060759ee5dd2</vt:lpwstr>
  </property>
  <property fmtid="{D5CDD505-2E9C-101B-9397-08002B2CF9AE}" pid="3" name="LANGUAGE">
    <vt:lpwstr>TR</vt:lpwstr>
  </property>
  <property fmtid="{D5CDD505-2E9C-101B-9397-08002B2CF9AE}" pid="4" name="CATEGORY">
    <vt:lpwstr>CT1</vt:lpwstr>
  </property>
  <property fmtid="{D5CDD505-2E9C-101B-9397-08002B2CF9AE}" pid="5" name="MILLICLASSIFICATION">
    <vt:lpwstr>AHc2n3B9s</vt:lpwstr>
  </property>
  <property fmtid="{D5CDD505-2E9C-101B-9397-08002B2CF9AE}" pid="6" name="KVKK">
    <vt:lpwstr>A65veE7AK</vt:lpwstr>
  </property>
  <property fmtid="{D5CDD505-2E9C-101B-9397-08002B2CF9AE}" pid="7" name="LABELING">
    <vt:lpwstr/>
  </property>
</Properties>
</file>